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测试报告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<sst xmlns="http://schemas.openxmlformats.org/spreadsheetml/2006/main" count="295" uniqueCount="146">
  <si>
    <t>Sprint_Daily_Report_07/06</t>
  </si>
  <si>
    <t>Sprint</t>
  </si>
  <si>
    <t>【OBIS-20260622-20260703】</t>
  </si>
  <si>
    <t>Test ENV</t>
  </si>
  <si>
    <t>SIT、UAT1、UAT2</t>
  </si>
  <si>
    <t>Testing Progress</t>
  </si>
  <si>
    <r>
      <rPr>
        <b/>
        <sz val="14"/>
        <rFont val="等线"/>
        <charset val="134"/>
      </rPr>
      <t>测试用例整体通过率：</t>
    </r>
    <r>
      <rPr>
        <b/>
        <sz val="14"/>
        <color rgb="FF4E83FD"/>
        <rFont val="等线"/>
        <charset val="134"/>
      </rPr>
      <t>73</t>
    </r>
    <r>
      <rPr>
        <b/>
        <sz val="14"/>
        <color rgb="FF245BDB"/>
        <rFont val="等线"/>
        <charset val="134"/>
      </rPr>
      <t>%</t>
    </r>
    <r>
      <rPr>
        <b/>
        <sz val="14"/>
        <rFont val="等线"/>
        <charset val="134"/>
      </rPr>
      <t xml:space="preserve"> | Bug 总数：144</t>
    </r>
  </si>
  <si>
    <t>Risk/Block</t>
  </si>
  <si>
    <t>Description</t>
  </si>
  <si>
    <t>Need Help</t>
  </si>
  <si>
    <t>1. 测试执行中bug量逐渐增加（38个bug待修复），需开发及时协助修复</t>
  </si>
  <si>
    <t>开发请及时关注待修复Bug</t>
  </si>
  <si>
    <t>2. 测试中有许多待产品确认的设计和实现点，需产品及时确认和处理</t>
  </si>
  <si>
    <t>产品请及时响应测试和开发的反馈</t>
  </si>
  <si>
    <t>Story</t>
  </si>
  <si>
    <t>Test Design</t>
  </si>
  <si>
    <t>Test Execution</t>
  </si>
  <si>
    <t>Ready for Testing</t>
  </si>
  <si>
    <t>Design</t>
  </si>
  <si>
    <t>Review</t>
  </si>
  <si>
    <t>Review Rate</t>
  </si>
  <si>
    <t>PASS</t>
  </si>
  <si>
    <t>FAILED</t>
  </si>
  <si>
    <t>BLOCKED</t>
  </si>
  <si>
    <t>Pass Rate</t>
  </si>
  <si>
    <t>Executable Pass Rate</t>
  </si>
  <si>
    <t xml:space="preserve"> Status</t>
  </si>
  <si>
    <t>Yes/No</t>
  </si>
  <si>
    <t>Ready Date</t>
  </si>
  <si>
    <t>Comment</t>
  </si>
  <si>
    <t>Generate File key 修改为tag</t>
  </si>
  <si>
    <t>待验收</t>
  </si>
  <si>
    <t>Yes</t>
  </si>
  <si>
    <t>延期</t>
  </si>
  <si>
    <t>[GPCA] E1-S01：GP CA 对象列表页</t>
  </si>
  <si>
    <t>测试中</t>
  </si>
  <si>
    <t>[GPCA] E1-S02：根 CA 创建</t>
  </si>
  <si>
    <t>[GPCA] E1-S03：根 CA 详情页</t>
  </si>
  <si>
    <t>[GPCA] E1-S04：中间 KA 创建</t>
  </si>
  <si>
    <t>[GPCA] E1-S05：中间 KA 详情页</t>
  </si>
  <si>
    <t>[GPCA] E1-S06：OCE 证书创建</t>
  </si>
  <si>
    <t>[GPCA] E1-S07：OCE 证书详情页</t>
  </si>
  <si>
    <t>[GPCA] E1-S08：SD 证书（Mode B）创建</t>
  </si>
  <si>
    <t>[GPCA] E1-S09：SD 证书详情页</t>
  </si>
  <si>
    <t>[GPCA] E1-S10：SD 证书存档管理</t>
  </si>
  <si>
    <t>[GPCA] E1-S16：密钥授权（GP-F07）</t>
  </si>
  <si>
    <t>[GPCA] E1-S17：中间 KA 离线签发</t>
  </si>
  <si>
    <t>[GPCA] E1-S18：OCE 证书离线签发</t>
  </si>
  <si>
    <t>[GPCA] E1-S19：SD 证书（Mode B）离线签发</t>
  </si>
  <si>
    <t>[PS-Software]S-F01-06: PCSC 读卡器通道类型配置</t>
  </si>
  <si>
    <t>[PS-Software]S-F01-07: PCSC 读卡器连接状态展示</t>
  </si>
  <si>
    <t>[PS-Software]S-F01-08: 通道类型可用范围配置</t>
  </si>
  <si>
    <t>[PS-Software]S-F03-01: SE Provisioning APDU 中继执行</t>
  </si>
  <si>
    <t>[SEMS] E1-S01：SE Profile 列表页</t>
  </si>
  <si>
    <t>[SEMS] E1-S02：SE Profile 创建与克隆</t>
  </si>
  <si>
    <t>[SEMS] E1-S03a：SE Profile 详情页 — 主框架</t>
  </si>
  <si>
    <t>[SEMS] E1-S03b：SE Profile 详情页 — 内容树编辑</t>
  </si>
  <si>
    <t>[SEMS] E1-S04：SE Profile 发布</t>
  </si>
  <si>
    <t>[SEMS] E1-S07：Permission Tab（协作者权限管理）</t>
  </si>
  <si>
    <t>[SEMS] E4-S10：边端轻量 TSM 执行规约</t>
  </si>
  <si>
    <t>[SEMS] E4-S1：IF-01 SE Profile Definition 输出</t>
  </si>
  <si>
    <t>[SEMS] E4-S2：IF-02 SE Profile 列表查询</t>
  </si>
  <si>
    <t>[SEMS] E4-S3：IF-03 SD 证书回传（Mode A）</t>
  </si>
  <si>
    <t>[SEMS] E4-S9：IF-08 SE Profile 授权数据获取</t>
  </si>
  <si>
    <t>product list 页面增加过滤条件</t>
  </si>
  <si>
    <t>version和batch选择 GF</t>
  </si>
  <si>
    <t>【SE卡片】SE卡片内容说明</t>
  </si>
  <si>
    <t>【SE卡片】内容导入</t>
  </si>
  <si>
    <t>【SE卡片】订阅与动作</t>
  </si>
  <si>
    <t>【体验优化P1】Account</t>
  </si>
  <si>
    <t>【体验优化P1】DAC Report</t>
  </si>
  <si>
    <t>【体验优化P1】Device History</t>
  </si>
  <si>
    <t>【体验优化P1】Factory</t>
  </si>
  <si>
    <t>【体验优化P1】Group</t>
  </si>
  <si>
    <t>【体验优化P1】KMS</t>
  </si>
  <si>
    <t>【体验优化P1】PKI</t>
  </si>
  <si>
    <t>【体验优化P1】Product</t>
  </si>
  <si>
    <t>【体验优化P1】U-safe</t>
  </si>
  <si>
    <t>【体验优化P1】全局菜单及导航栏</t>
  </si>
  <si>
    <t>【体验优化P2】Account详情（不含自注册）</t>
  </si>
  <si>
    <t>【体验优化P2】Factory详情</t>
  </si>
  <si>
    <t>【体验优化P2】Group详情</t>
  </si>
  <si>
    <t>【卡片编辑】assests 卡片自定义</t>
  </si>
  <si>
    <t>【卡片编辑】overview展示内容改动</t>
  </si>
  <si>
    <t>【卡片编辑】自定义卡片</t>
  </si>
  <si>
    <t>【卡片编辑】选择module类型</t>
  </si>
  <si>
    <t>【自注册】003-01: 欢迎弹窗与侧边栏引导</t>
  </si>
  <si>
    <t>【自注册】003-02: 场景引导与完成追踪</t>
  </si>
  <si>
    <t>【自注册】003-03: 常驻工具栏与资源中心</t>
  </si>
  <si>
    <t>【自注册】003-04: Welcome内容管理</t>
  </si>
  <si>
    <t>【自注册】004-05: 统一联系销售弹窗与Lead落库</t>
  </si>
  <si>
    <t>【自注册】权限配置Phase1</t>
  </si>
  <si>
    <t>移除 Attachment File 分类</t>
  </si>
  <si>
    <t>总计</t>
  </si>
  <si>
    <t>/</t>
  </si>
  <si>
    <t>Bug Total</t>
  </si>
  <si>
    <t>Status/Statistics</t>
  </si>
  <si>
    <t>To Do</t>
  </si>
  <si>
    <t>Testing</t>
  </si>
  <si>
    <t>Fixing</t>
  </si>
  <si>
    <t>Confirming</t>
  </si>
  <si>
    <t>Clarifying</t>
  </si>
  <si>
    <t>Done</t>
  </si>
  <si>
    <t>closed</t>
  </si>
  <si>
    <t>Total</t>
  </si>
  <si>
    <t>Fixed Rate</t>
  </si>
  <si>
    <t>P0</t>
  </si>
  <si>
    <t>P1</t>
  </si>
  <si>
    <t>P2</t>
  </si>
  <si>
    <t>P3</t>
  </si>
  <si>
    <t>Bug Reopen</t>
  </si>
  <si>
    <t>Link/Details</t>
  </si>
  <si>
    <t>Priority</t>
  </si>
  <si>
    <t>Status</t>
  </si>
  <si>
    <t>Link</t>
  </si>
  <si>
    <t>Summary</t>
  </si>
  <si>
    <t>Reopen Times</t>
  </si>
  <si>
    <r>
      <rPr>
        <u/>
        <sz val="10"/>
        <color theme="10"/>
        <rFont val="宋体"/>
        <charset val="134"/>
      </rPr>
      <t>https://project.feishu.cn/obis/bug/detail/7035307368</t>
    </r>
  </si>
  <si>
    <t>【GPCA】导入证书时，“Import” 按钮需点击 2 次才可导入证书</t>
  </si>
  <si>
    <r>
      <rPr>
        <u/>
        <sz val="10"/>
        <color theme="10"/>
        <rFont val="宋体"/>
        <charset val="134"/>
      </rPr>
      <t>https://project.feishu.cn/obis/bug/detail/7034234347</t>
    </r>
  </si>
  <si>
    <t>【GPCA-根CA】创建根CA，Certificates Identifier 填写系统已有的证书Certificates Identifier ，可保存成功</t>
  </si>
  <si>
    <r>
      <rPr>
        <u/>
        <sz val="10"/>
        <color theme="10"/>
        <rFont val="宋体"/>
        <charset val="134"/>
      </rPr>
      <t>https://project.feishu.cn/obis/bug/detail/7035464800</t>
    </r>
  </si>
  <si>
    <t>【GPCA-根CA】GPCA 证书详情布局和UI不一致</t>
  </si>
  <si>
    <r>
      <rPr>
        <u/>
        <sz val="10"/>
        <color theme="10"/>
        <rFont val="宋体"/>
        <charset val="134"/>
      </rPr>
      <t>https://project.feishu.cn/obis/bug/detail/7035492400</t>
    </r>
  </si>
  <si>
    <t>【GPCA-根CA】GPCA 创建证书页面，证书序列号非1-16字节Hex字符串，提示文案有误</t>
  </si>
  <si>
    <t>Bug List（P0/P1）</t>
  </si>
  <si>
    <r>
      <rPr>
        <u/>
        <sz val="10"/>
        <color theme="10"/>
        <rFont val="宋体"/>
        <charset val="134"/>
      </rPr>
      <t>https://project.feishu.cn/obis/bug/detail/7040729555</t>
    </r>
  </si>
  <si>
    <t>【GPCA】SD 证书无法签发</t>
  </si>
  <si>
    <r>
      <rPr>
        <u/>
        <sz val="10"/>
        <color theme="10"/>
        <rFont val="宋体"/>
        <charset val="134"/>
      </rPr>
      <t>https://project.feishu.cn/obis/bug/detail/7040493770</t>
    </r>
  </si>
  <si>
    <t>【iot-SEMS】SE Profile相关批次创建失败</t>
  </si>
  <si>
    <r>
      <rPr>
        <u/>
        <sz val="10"/>
        <color theme="10"/>
        <rFont val="宋体"/>
        <charset val="134"/>
      </rPr>
      <t>https://project.feishu.cn/obis/bug/detail/7034306672</t>
    </r>
  </si>
  <si>
    <t>【Iot-OBIS】Welcome Page - 欢迎页面的教程视频需要替换成真实的视频</t>
  </si>
  <si>
    <r>
      <rPr>
        <u/>
        <sz val="10"/>
        <color theme="10"/>
        <rFont val="宋体"/>
        <charset val="134"/>
      </rPr>
      <t>https://project.feishu.cn/obis/bug/detail/7035201092</t>
    </r>
  </si>
  <si>
    <t>【IOT-Product】Overview界面无Add Module 按钮（UI design 不一致）</t>
  </si>
  <si>
    <r>
      <rPr>
        <u/>
        <sz val="10"/>
        <color theme="10"/>
        <rFont val="宋体"/>
        <charset val="134"/>
      </rPr>
      <t>https://project.feishu.cn/obis/bug/detail/7035323354</t>
    </r>
  </si>
  <si>
    <t>【GPCA-根CA】根证书有效期到期后，证书状态未更新为过期</t>
  </si>
  <si>
    <r>
      <rPr>
        <u/>
        <sz val="10"/>
        <color theme="10"/>
        <rFont val="宋体"/>
        <charset val="134"/>
      </rPr>
      <t>https://project.feishu.cn/obis/bug/detail/7035543886</t>
    </r>
  </si>
  <si>
    <t>【GPCA】在 External CA-KLCC 下尝试导入 SD 证书，实际被导入的证书为 KA，导入成功</t>
  </si>
  <si>
    <t>https://project.feishu.cn/obis/bug/detail/7036166618</t>
  </si>
  <si>
    <t>【IOT-Product】卡片编辑部分国际化未配置</t>
  </si>
  <si>
    <r>
      <rPr>
        <u/>
        <sz val="10"/>
        <color theme="10"/>
        <rFont val="宋体"/>
        <charset val="134"/>
      </rPr>
      <t>https://project.feishu.cn/obis/bug/detail/7040526235</t>
    </r>
  </si>
  <si>
    <t>【SE卡片-Version创建】Version创建时未校验module下有Inactive状态的SE资产</t>
  </si>
  <si>
    <r>
      <rPr>
        <u/>
        <sz val="10"/>
        <color theme="10"/>
        <rFont val="宋体"/>
        <charset val="134"/>
      </rPr>
      <t>https://project.feishu.cn/obis/bug/detail/7040544797</t>
    </r>
  </si>
  <si>
    <t>【GPCA-根CA】创建根证书，选择外部导入，输入证书数据和name后点击Import，提示"internal server error"</t>
  </si>
  <si>
    <r>
      <rPr>
        <u/>
        <sz val="10"/>
        <color theme="10"/>
        <rFont val="宋体"/>
        <charset val="134"/>
      </rPr>
      <t>https://project.feishu.cn/obis/bug/detail/7040696494</t>
    </r>
  </si>
  <si>
    <t>【GPCA】在 External CA-KLCC 下尝试导入 KA 证书，实际被导入的证书为 SD，导入成功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</si>
</sst>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20"/>
      <color rgb="FF000000"/>
      <name val="华文楷体"/>
      <charset val="134"/>
    </font>
    <font>
      <b/>
      <sz val="14"/>
      <color rgb="FF000000"/>
      <name val="DengXian"/>
      <charset val="134"/>
    </font>
    <font>
      <b/>
      <sz val="12"/>
      <color rgb="FF335593"/>
      <name val="等线"/>
      <charset val="134"/>
    </font>
    <font>
      <b/>
      <sz val="12"/>
      <color rgb="FF000000"/>
      <name val="等线"/>
      <charset val="134"/>
    </font>
    <font>
      <b/>
      <sz val="14"/>
      <color rgb="FF000000"/>
      <name val="等线"/>
      <charset val="134"/>
    </font>
    <font>
      <sz val="12"/>
      <color rgb="FF000000"/>
      <name val="等线"/>
      <charset val="134"/>
    </font>
    <font>
      <b/>
      <sz val="12"/>
      <color rgb="FF000000"/>
      <name val="DengXian"/>
      <charset val="134"/>
    </font>
    <font>
      <b/>
      <sz val="12"/>
      <color rgb="FF0070C0"/>
      <name val="DengXian"/>
      <charset val="134"/>
    </font>
    <font>
      <sz val="10"/>
      <color rgb="FF000000"/>
      <name val="等线"/>
      <charset val="134"/>
    </font>
    <font>
      <sz val="12"/>
      <color rgb="FF34C724"/>
      <name val="等线"/>
      <charset val="134"/>
    </font>
    <font>
      <sz val="12"/>
      <color rgb="FF2EA121"/>
      <name val="等线"/>
      <charset val="134"/>
    </font>
    <font>
      <sz val="12"/>
      <color rgb="FFF14BA9"/>
      <name val="等线"/>
      <charset val="134"/>
    </font>
    <font>
      <sz val="12"/>
      <color rgb="FF1F2329"/>
      <name val="等线"/>
      <charset val="134"/>
    </font>
    <font>
      <u/>
      <sz val="11"/>
      <color rgb="FF0000EE"/>
      <name val="宋体"/>
      <charset val="134"/>
    </font>
    <font>
      <sz val="11"/>
      <color rgb="FF000000"/>
      <name val="等线"/>
      <charset val="134"/>
    </font>
    <font>
      <sz val="14"/>
      <color rgb="FF000000"/>
      <name val="等线"/>
      <charset val="134"/>
    </font>
    <font>
      <u/>
      <sz val="10"/>
      <color rgb="FF0000EE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theme="10"/>
      <name val="宋体"/>
      <charset val="134"/>
    </font>
    <font>
      <b/>
      <sz val="14"/>
      <name val="等线"/>
      <charset val="134"/>
    </font>
    <font>
      <b/>
      <sz val="14"/>
      <color rgb="FF4E83FD"/>
      <name val="等线"/>
      <charset val="134"/>
    </font>
    <font>
      <b/>
      <sz val="14"/>
      <color rgb="FF245BDB"/>
      <name val="等线"/>
      <charset val="134"/>
    </font>
  </fonts>
  <fills count="50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F0A"/>
        <bgColor indexed="64"/>
      </patternFill>
    </fill>
    <fill>
      <patternFill patternType="solid">
        <fgColor rgb="FFC5DEB5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2AEC6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ADACAC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43E4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5">
    <border>
      <left/>
      <right/>
      <top/>
      <bottom/>
      <diagonal/>
    </border>
    <border>
      <left style="medium">
        <color rgb="FF1F2329"/>
      </left>
      <right style="thin">
        <color rgb="FF000000"/>
      </right>
      <top style="medium">
        <color rgb="FF1F2329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1F2329"/>
      </top>
      <bottom style="medium">
        <color rgb="FF000000"/>
      </bottom>
      <diagonal/>
    </border>
    <border>
      <left style="thin">
        <color rgb="FF000000"/>
      </left>
      <right style="medium">
        <color rgb="FF1F2329"/>
      </right>
      <top style="medium">
        <color rgb="FF1F2329"/>
      </top>
      <bottom style="medium">
        <color rgb="FF000000"/>
      </bottom>
      <diagonal/>
    </border>
    <border>
      <left style="medium">
        <color rgb="FF1F2329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1F2329"/>
      </right>
      <top style="medium">
        <color rgb="FF000000"/>
      </top>
      <bottom style="medium">
        <color rgb="FF000000"/>
      </bottom>
      <diagonal/>
    </border>
    <border>
      <left style="medium">
        <color rgb="FF1F2329"/>
      </left>
      <right/>
      <top/>
      <bottom/>
      <diagonal/>
    </border>
    <border>
      <left style="medium">
        <color rgb="FF1F2329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1F2329"/>
      </right>
      <top style="medium">
        <color rgb="FF000000"/>
      </top>
      <bottom/>
      <diagonal/>
    </border>
    <border>
      <left style="medium">
        <color rgb="FF1F2329"/>
      </left>
      <right/>
      <top style="medium">
        <color rgb="FF1F2329"/>
      </top>
      <bottom/>
      <diagonal/>
    </border>
    <border>
      <left style="medium">
        <color rgb="FF1F2329"/>
      </left>
      <right/>
      <top style="medium">
        <color rgb="FF1F2329"/>
      </top>
      <bottom style="medium">
        <color rgb="FF000000"/>
      </bottom>
      <diagonal/>
    </border>
    <border>
      <left/>
      <right/>
      <top style="medium">
        <color rgb="FF1F2329"/>
      </top>
      <bottom style="medium">
        <color rgb="FF000000"/>
      </bottom>
      <diagonal/>
    </border>
    <border>
      <left/>
      <right style="medium">
        <color rgb="FF000000"/>
      </right>
      <top style="medium">
        <color rgb="FF1F2329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1F2329"/>
      </top>
      <bottom style="medium">
        <color rgb="FF000000"/>
      </bottom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/>
      <top style="thin">
        <color rgb="FF000000"/>
      </top>
      <bottom style="medium">
        <color rgb="FF1F232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1F2329"/>
      </right>
      <top/>
      <bottom style="thin">
        <color rgb="FF000000"/>
      </bottom>
      <diagonal/>
    </border>
    <border>
      <left style="medium">
        <color rgb="FF1F2329"/>
      </left>
      <right style="medium">
        <color rgb="FF1F2329"/>
      </right>
      <top style="thin">
        <color rgb="FF000000"/>
      </top>
      <bottom style="medium">
        <color rgb="FF1F2329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1F2329"/>
      </right>
      <top style="thin">
        <color rgb="FF000000"/>
      </top>
      <bottom style="medium">
        <color rgb="FF000000"/>
      </bottom>
      <diagonal/>
    </border>
    <border>
      <left style="medium">
        <color rgb="FF1F2329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1F2329"/>
      </left>
      <right style="medium">
        <color rgb="FF000000"/>
      </right>
      <top/>
      <bottom/>
      <diagonal/>
    </border>
    <border>
      <left style="thin">
        <color rgb="FF1F2329"/>
      </left>
      <right style="medium">
        <color rgb="FF1F2329"/>
      </right>
      <top style="thin">
        <color rgb="FF000000"/>
      </top>
      <bottom/>
      <diagonal/>
    </border>
    <border>
      <left style="medium">
        <color rgb="FF1F2329"/>
      </left>
      <right style="medium">
        <color rgb="FF000000"/>
      </right>
      <top style="medium">
        <color rgb="FF1F2329"/>
      </top>
      <bottom/>
      <diagonal/>
    </border>
    <border>
      <left/>
      <right style="thin">
        <color rgb="FF000000"/>
      </right>
      <top style="medium">
        <color rgb="FF1F232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1F2329"/>
      </top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 style="medium">
        <color rgb="FF1F2329"/>
      </top>
      <bottom style="thin">
        <color rgb="FF000000"/>
      </bottom>
      <diagonal/>
    </border>
    <border>
      <left style="medium">
        <color rgb="FF1F2329"/>
      </left>
      <right style="medium">
        <color rgb="FF000000"/>
      </right>
      <top/>
      <bottom style="medium">
        <color rgb="FF1F2329"/>
      </bottom>
      <diagonal/>
    </border>
    <border>
      <left/>
      <right style="thin">
        <color rgb="FF000000"/>
      </right>
      <top/>
      <bottom style="medium">
        <color rgb="FF1F2329"/>
      </bottom>
      <diagonal/>
    </border>
    <border>
      <left style="thin">
        <color rgb="FF000000"/>
      </left>
      <right style="thin">
        <color rgb="FF000000"/>
      </right>
      <top/>
      <bottom style="medium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1F2329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/>
      <right style="thin">
        <color rgb="FF1F2329"/>
      </right>
      <top style="medium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medium">
        <color rgb="FF1F2329"/>
      </top>
      <bottom style="thin">
        <color rgb="FF1F2329"/>
      </bottom>
      <diagonal/>
    </border>
    <border>
      <left style="thin">
        <color rgb="FF1F2329"/>
      </left>
      <right style="medium">
        <color rgb="FF1F2329"/>
      </right>
      <top style="medium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medium">
        <color rgb="FF1F2329"/>
      </bottom>
      <diagonal/>
    </border>
    <border>
      <left style="thin">
        <color rgb="FF1F2329"/>
      </left>
      <right style="medium">
        <color rgb="FF1F2329"/>
      </right>
      <top style="thin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medium">
        <color rgb="FF1F2329"/>
      </right>
      <top style="thin">
        <color rgb="FF1F2329"/>
      </top>
      <bottom/>
      <diagonal/>
    </border>
    <border>
      <left style="medium">
        <color rgb="FF1F2329"/>
      </left>
      <right style="medium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medium">
        <color rgb="FF1F2329"/>
      </top>
      <bottom/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 style="thin">
        <color rgb="FF1F2329"/>
      </left>
      <right/>
      <top/>
      <bottom style="thin">
        <color rgb="FF000000"/>
      </bottom>
      <diagonal/>
    </border>
    <border>
      <left style="thick">
        <color rgb="FF1F2329"/>
      </left>
      <right style="medium">
        <color rgb="FF000000"/>
      </right>
      <top/>
      <bottom style="thin">
        <color rgb="FF000000"/>
      </bottom>
      <diagonal/>
    </border>
    <border>
      <left style="thick">
        <color rgb="FF1F2329"/>
      </left>
      <right style="medium">
        <color rgb="FF1F2329"/>
      </right>
      <top/>
      <bottom style="thin">
        <color rgb="FF000000"/>
      </bottom>
      <diagonal/>
    </border>
    <border>
      <left/>
      <right style="medium">
        <color rgb="FF1F2329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/>
      <right style="thin">
        <color rgb="FF1F2329"/>
      </right>
      <top style="thin">
        <color rgb="FF000000"/>
      </top>
      <bottom style="medium">
        <color rgb="FF1F2329"/>
      </bottom>
      <diagonal/>
    </border>
    <border>
      <left style="thin">
        <color rgb="FF1F2329"/>
      </left>
      <right/>
      <top/>
      <bottom style="medium">
        <color rgb="FF1F2329"/>
      </bottom>
      <diagonal/>
    </border>
    <border>
      <left/>
      <right style="medium">
        <color rgb="FF000000"/>
      </right>
      <top/>
      <bottom style="medium">
        <color rgb="FF1F2329"/>
      </bottom>
      <diagonal/>
    </border>
    <border>
      <left style="thick">
        <color rgb="FF1F2329"/>
      </left>
      <right style="medium">
        <color rgb="FF000000"/>
      </right>
      <top/>
      <bottom style="medium">
        <color rgb="FF1F2329"/>
      </bottom>
      <diagonal/>
    </border>
    <border>
      <left style="thick">
        <color rgb="FF1F2329"/>
      </left>
      <right style="medium">
        <color rgb="FF1F2329"/>
      </right>
      <top/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9" borderId="8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88" applyNumberFormat="0" applyFill="0" applyAlignment="0" applyProtection="0">
      <alignment vertical="center"/>
    </xf>
    <xf numFmtId="0" fontId="26" fillId="0" borderId="88" applyNumberFormat="0" applyFill="0" applyAlignment="0" applyProtection="0">
      <alignment vertical="center"/>
    </xf>
    <xf numFmtId="0" fontId="27" fillId="0" borderId="8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90" applyNumberFormat="0" applyAlignment="0" applyProtection="0">
      <alignment vertical="center"/>
    </xf>
    <xf numFmtId="0" fontId="29" fillId="21" borderId="91" applyNumberFormat="0" applyAlignment="0" applyProtection="0">
      <alignment vertical="center"/>
    </xf>
    <xf numFmtId="0" fontId="30" fillId="21" borderId="90" applyNumberFormat="0" applyAlignment="0" applyProtection="0">
      <alignment vertical="center"/>
    </xf>
    <xf numFmtId="0" fontId="31" fillId="22" borderId="92" applyNumberFormat="0" applyAlignment="0" applyProtection="0">
      <alignment vertical="center"/>
    </xf>
    <xf numFmtId="0" fontId="32" fillId="0" borderId="93" applyNumberFormat="0" applyFill="0" applyAlignment="0" applyProtection="0">
      <alignment vertical="center"/>
    </xf>
    <xf numFmtId="0" fontId="33" fillId="0" borderId="94" applyNumberFormat="0" applyFill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</cellStyleXfs>
  <cellXfs count="1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3" fillId="5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3" fillId="5" borderId="21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6" fillId="6" borderId="24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11" borderId="34" xfId="0" applyFont="1" applyFill="1" applyBorder="1" applyAlignment="1">
      <alignment horizontal="center" vertical="center"/>
    </xf>
    <xf numFmtId="0" fontId="5" fillId="12" borderId="35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13" borderId="37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9" fontId="7" fillId="0" borderId="29" xfId="0" applyNumberFormat="1" applyFont="1" applyBorder="1" applyAlignment="1">
      <alignment horizontal="center" vertical="center"/>
    </xf>
    <xf numFmtId="9" fontId="11" fillId="0" borderId="29" xfId="0" applyNumberFormat="1" applyFont="1" applyBorder="1" applyAlignment="1">
      <alignment horizontal="center" vertical="center"/>
    </xf>
    <xf numFmtId="9" fontId="12" fillId="0" borderId="29" xfId="0" applyNumberFormat="1" applyFont="1" applyBorder="1" applyAlignment="1">
      <alignment horizontal="center" vertical="center"/>
    </xf>
    <xf numFmtId="14" fontId="7" fillId="0" borderId="27" xfId="0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9" fontId="13" fillId="0" borderId="29" xfId="0" applyNumberFormat="1" applyFont="1" applyBorder="1" applyAlignment="1">
      <alignment horizontal="center" vertical="center"/>
    </xf>
    <xf numFmtId="9" fontId="14" fillId="0" borderId="29" xfId="0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9" fontId="5" fillId="0" borderId="43" xfId="0" applyNumberFormat="1" applyFont="1" applyBorder="1" applyAlignment="1">
      <alignment horizontal="center" vertical="center"/>
    </xf>
    <xf numFmtId="9" fontId="7" fillId="0" borderId="44" xfId="0" applyNumberFormat="1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10" fontId="7" fillId="0" borderId="43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6" fillId="14" borderId="46" xfId="0" applyFont="1" applyFill="1" applyBorder="1" applyAlignment="1">
      <alignment horizontal="center" vertical="center"/>
    </xf>
    <xf numFmtId="0" fontId="5" fillId="15" borderId="47" xfId="0" applyFont="1" applyFill="1" applyBorder="1" applyAlignment="1">
      <alignment horizontal="center" vertical="center"/>
    </xf>
    <xf numFmtId="0" fontId="5" fillId="15" borderId="48" xfId="0" applyFont="1" applyFill="1" applyBorder="1" applyAlignment="1">
      <alignment horizontal="center" vertical="center"/>
    </xf>
    <xf numFmtId="0" fontId="5" fillId="15" borderId="49" xfId="0" applyFont="1" applyFill="1" applyBorder="1" applyAlignment="1">
      <alignment horizontal="center" vertical="center"/>
    </xf>
    <xf numFmtId="0" fontId="6" fillId="14" borderId="50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16" borderId="52" xfId="0" applyFont="1" applyFill="1" applyBorder="1" applyAlignment="1">
      <alignment horizontal="center" vertical="center"/>
    </xf>
    <xf numFmtId="0" fontId="5" fillId="11" borderId="53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9" fontId="5" fillId="0" borderId="28" xfId="0" applyNumberFormat="1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17" borderId="40" xfId="0" applyFont="1" applyFill="1" applyBorder="1" applyAlignment="1">
      <alignment horizontal="center" vertical="center"/>
    </xf>
    <xf numFmtId="0" fontId="5" fillId="17" borderId="57" xfId="0" applyFont="1" applyFill="1" applyBorder="1" applyAlignment="1">
      <alignment horizontal="center" vertical="center"/>
    </xf>
    <xf numFmtId="0" fontId="5" fillId="17" borderId="58" xfId="0" applyFont="1" applyFill="1" applyBorder="1" applyAlignment="1">
      <alignment horizontal="center" vertical="center"/>
    </xf>
    <xf numFmtId="9" fontId="5" fillId="17" borderId="59" xfId="0" applyNumberFormat="1" applyFont="1" applyFill="1" applyBorder="1" applyAlignment="1">
      <alignment horizontal="center" vertical="center"/>
    </xf>
    <xf numFmtId="0" fontId="6" fillId="18" borderId="60" xfId="0" applyFont="1" applyFill="1" applyBorder="1" applyAlignment="1">
      <alignment horizontal="center" vertical="center"/>
    </xf>
    <xf numFmtId="0" fontId="5" fillId="15" borderId="61" xfId="0" applyFont="1" applyFill="1" applyBorder="1" applyAlignment="1">
      <alignment horizontal="center" vertical="center"/>
    </xf>
    <xf numFmtId="0" fontId="5" fillId="15" borderId="62" xfId="0" applyFont="1" applyFill="1" applyBorder="1" applyAlignment="1">
      <alignment horizontal="center" vertical="center"/>
    </xf>
    <xf numFmtId="0" fontId="5" fillId="15" borderId="63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15" fillId="0" borderId="68" xfId="0" applyFont="1" applyBorder="1" applyAlignment="1">
      <alignment horizontal="left" vertical="center" wrapText="1"/>
    </xf>
    <xf numFmtId="0" fontId="10" fillId="0" borderId="62" xfId="0" applyFont="1" applyBorder="1" applyAlignment="1">
      <alignment horizontal="left" vertical="center"/>
    </xf>
    <xf numFmtId="0" fontId="5" fillId="0" borderId="63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16" fillId="0" borderId="70" xfId="0" applyFont="1" applyBorder="1" applyAlignment="1">
      <alignment horizontal="left" vertical="center"/>
    </xf>
    <xf numFmtId="0" fontId="10" fillId="0" borderId="70" xfId="0" applyFont="1" applyBorder="1" applyAlignment="1">
      <alignment horizontal="left" vertical="center"/>
    </xf>
    <xf numFmtId="0" fontId="5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6" fillId="18" borderId="21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15" fillId="0" borderId="68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0" fillId="0" borderId="26" xfId="0" applyFont="1" applyBorder="1" applyAlignment="1">
      <alignment horizontal="left" vertical="center"/>
    </xf>
    <xf numFmtId="0" fontId="10" fillId="0" borderId="76" xfId="0" applyFont="1" applyBorder="1" applyAlignment="1">
      <alignment horizontal="left" vertical="center"/>
    </xf>
    <xf numFmtId="0" fontId="10" fillId="0" borderId="77" xfId="0" applyFont="1" applyBorder="1" applyAlignment="1">
      <alignment horizontal="left" vertical="center"/>
    </xf>
    <xf numFmtId="0" fontId="10" fillId="0" borderId="78" xfId="0" applyFont="1" applyBorder="1" applyAlignment="1">
      <alignment horizontal="left" vertical="center"/>
    </xf>
    <xf numFmtId="0" fontId="7" fillId="0" borderId="79" xfId="0" applyFont="1" applyBorder="1" applyAlignment="1">
      <alignment horizontal="center" vertical="center"/>
    </xf>
    <xf numFmtId="0" fontId="15" fillId="0" borderId="80" xfId="0" applyFont="1" applyBorder="1" applyAlignment="1">
      <alignment vertical="center" wrapText="1"/>
    </xf>
    <xf numFmtId="0" fontId="1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15" fillId="0" borderId="65" xfId="0" applyFont="1" applyBorder="1" applyAlignment="1">
      <alignment vertical="center" wrapText="1"/>
    </xf>
    <xf numFmtId="0" fontId="10" fillId="0" borderId="84" xfId="0" applyFont="1" applyBorder="1" applyAlignment="1">
      <alignment horizontal="left" vertical="center"/>
    </xf>
    <xf numFmtId="0" fontId="10" fillId="0" borderId="85" xfId="0" applyFont="1" applyBorder="1" applyAlignment="1">
      <alignment horizontal="left" vertical="center"/>
    </xf>
    <xf numFmtId="0" fontId="10" fillId="0" borderId="86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roject.feishu.cn/obis/bug/detail/7035323354" TargetMode="External"/><Relationship Id="rId8" Type="http://schemas.openxmlformats.org/officeDocument/2006/relationships/hyperlink" Target="https://project.feishu.cn/obis/bug/detail/7034306672" TargetMode="External"/><Relationship Id="rId7" Type="http://schemas.openxmlformats.org/officeDocument/2006/relationships/hyperlink" Target="https://project.feishu.cn/obis/bug/detail/7040729555" TargetMode="External"/><Relationship Id="rId6" Type="http://schemas.openxmlformats.org/officeDocument/2006/relationships/hyperlink" Target="https://project.feishu.cn/obis/bug/detail/7035492400" TargetMode="External"/><Relationship Id="rId5" Type="http://schemas.openxmlformats.org/officeDocument/2006/relationships/hyperlink" Target="https://project.feishu.cn/obis/bug/detail/7034234347" TargetMode="External"/><Relationship Id="rId4" Type="http://schemas.openxmlformats.org/officeDocument/2006/relationships/hyperlink" Target="https://project.feishu.cn/obis/bug/detail/7040544797" TargetMode="External"/><Relationship Id="rId3" Type="http://schemas.openxmlformats.org/officeDocument/2006/relationships/hyperlink" Target="https://project.feishu.cn/obis/bug/detail/7035543886" TargetMode="External"/><Relationship Id="rId2" Type="http://schemas.openxmlformats.org/officeDocument/2006/relationships/hyperlink" Target="https://project.feishu.cn/obis/bug/detail/7035201092" TargetMode="External"/><Relationship Id="rId14" Type="http://schemas.openxmlformats.org/officeDocument/2006/relationships/image" Target="../media/image1.png"/><Relationship Id="rId13" Type="http://schemas.openxmlformats.org/officeDocument/2006/relationships/hyperlink" Target="https://project.feishu.cn/obis/bug/detail/7035464800" TargetMode="External"/><Relationship Id="rId12" Type="http://schemas.openxmlformats.org/officeDocument/2006/relationships/hyperlink" Target="https://project.feishu.cn/obis/bug/detail/7035307368" TargetMode="External"/><Relationship Id="rId11" Type="http://schemas.openxmlformats.org/officeDocument/2006/relationships/hyperlink" Target="https://project.feishu.cn/obis/bug/detail/7040696494" TargetMode="External"/><Relationship Id="rId10" Type="http://schemas.openxmlformats.org/officeDocument/2006/relationships/hyperlink" Target="https://project.feishu.cn/obis/bug/detail/7040526235" TargetMode="External"/><Relationship Id="rId1" Type="http://schemas.openxmlformats.org/officeDocument/2006/relationships/hyperlink" Target="https://project.feishu.cn/obis/bug/detail/70404937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70"/>
  <sheetViews>
    <sheetView tabSelected="1" workbookViewId="0">
      <pane ySplit="10" topLeftCell="A11" activePane="bottomLeft" state="frozen"/>
      <selection/>
      <selection pane="bottomLeft" activeCell="B6" sqref="B6:B8"/>
    </sheetView>
  </sheetViews>
  <sheetFormatPr defaultColWidth="14" defaultRowHeight="13"/>
  <cols>
    <col min="1" max="1" width="31" customWidth="1"/>
    <col min="2" max="2" width="46" customWidth="1"/>
    <col min="3" max="3" width="11" customWidth="1"/>
    <col min="4" max="5" width="12" customWidth="1"/>
    <col min="6" max="8" width="14" customWidth="1"/>
    <col min="9" max="9" width="15" customWidth="1"/>
    <col min="10" max="10" width="22" customWidth="1"/>
    <col min="11" max="11" width="15" customWidth="1"/>
    <col min="12" max="12" width="16" customWidth="1"/>
    <col min="13" max="13" width="19" customWidth="1"/>
    <col min="14" max="14" width="23" customWidth="1"/>
    <col min="15" max="22" width="14" customWidth="1"/>
  </cols>
  <sheetData>
    <row r="1" ht="20" customHeight="1" spans="1: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48" customHeight="1" spans="1:1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30" customHeight="1" spans="1:15">
      <c r="A3" s="1"/>
      <c r="B3" s="5" t="s">
        <v>1</v>
      </c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"/>
    </row>
    <row r="4" ht="31" customHeight="1" spans="1:15">
      <c r="A4" s="1"/>
      <c r="B4" s="9" t="s">
        <v>3</v>
      </c>
      <c r="C4" s="10" t="s"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"/>
    </row>
    <row r="5" ht="36" customHeight="1" spans="1:15">
      <c r="A5" s="1"/>
      <c r="B5" s="13" t="s">
        <v>5</v>
      </c>
      <c r="C5" s="14" t="s">
        <v>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1"/>
    </row>
    <row r="6" ht="26" customHeight="1" spans="1:15">
      <c r="A6" s="1"/>
      <c r="B6" s="17" t="s">
        <v>7</v>
      </c>
      <c r="C6" s="18" t="s">
        <v>8</v>
      </c>
      <c r="D6" s="19"/>
      <c r="E6" s="19"/>
      <c r="F6" s="19"/>
      <c r="G6" s="19"/>
      <c r="H6" s="19"/>
      <c r="I6" s="19"/>
      <c r="J6" s="20"/>
      <c r="K6" s="21" t="s">
        <v>9</v>
      </c>
      <c r="L6" s="21"/>
      <c r="M6" s="21"/>
      <c r="N6" s="21"/>
      <c r="O6" s="1"/>
    </row>
    <row r="7" ht="28" customHeight="1" spans="1:15">
      <c r="A7" s="1"/>
      <c r="B7" s="17"/>
      <c r="C7" s="22" t="s">
        <v>10</v>
      </c>
      <c r="D7" s="23"/>
      <c r="E7" s="23"/>
      <c r="F7" s="23"/>
      <c r="G7" s="23"/>
      <c r="H7" s="23"/>
      <c r="I7" s="23"/>
      <c r="J7" s="23"/>
      <c r="K7" s="24" t="s">
        <v>11</v>
      </c>
      <c r="L7" s="24"/>
      <c r="M7" s="24"/>
      <c r="N7" s="24"/>
      <c r="O7" s="1"/>
    </row>
    <row r="8" ht="28" customHeight="1" spans="1:15">
      <c r="A8" s="1"/>
      <c r="B8" s="25"/>
      <c r="C8" s="26" t="s">
        <v>12</v>
      </c>
      <c r="D8" s="26"/>
      <c r="E8" s="26"/>
      <c r="F8" s="26"/>
      <c r="G8" s="26"/>
      <c r="H8" s="26"/>
      <c r="I8" s="26"/>
      <c r="J8" s="26"/>
      <c r="K8" s="27" t="s">
        <v>13</v>
      </c>
      <c r="L8" s="27"/>
      <c r="M8" s="27"/>
      <c r="N8" s="27"/>
      <c r="O8" s="1"/>
    </row>
    <row r="9" ht="26" customHeight="1" spans="1:15">
      <c r="A9" s="1"/>
      <c r="B9" s="28" t="s">
        <v>14</v>
      </c>
      <c r="C9" s="29" t="s">
        <v>15</v>
      </c>
      <c r="D9" s="29"/>
      <c r="E9" s="30"/>
      <c r="F9" s="31" t="s">
        <v>16</v>
      </c>
      <c r="G9" s="32"/>
      <c r="H9" s="32"/>
      <c r="I9" s="32"/>
      <c r="J9" s="33"/>
      <c r="K9" s="34" t="s">
        <v>14</v>
      </c>
      <c r="L9" s="35" t="s">
        <v>17</v>
      </c>
      <c r="M9" s="35"/>
      <c r="N9" s="36"/>
      <c r="O9" s="1"/>
    </row>
    <row r="10" ht="26" customHeight="1" spans="1:15">
      <c r="A10" s="1"/>
      <c r="B10" s="37"/>
      <c r="C10" s="38" t="s">
        <v>18</v>
      </c>
      <c r="D10" s="39" t="s">
        <v>19</v>
      </c>
      <c r="E10" s="40" t="s">
        <v>20</v>
      </c>
      <c r="F10" s="41" t="s">
        <v>21</v>
      </c>
      <c r="G10" s="39" t="s">
        <v>22</v>
      </c>
      <c r="H10" s="39" t="s">
        <v>23</v>
      </c>
      <c r="I10" s="42" t="s">
        <v>24</v>
      </c>
      <c r="J10" s="43" t="s">
        <v>25</v>
      </c>
      <c r="K10" s="44" t="s">
        <v>26</v>
      </c>
      <c r="L10" s="41" t="s">
        <v>27</v>
      </c>
      <c r="M10" s="43" t="s">
        <v>28</v>
      </c>
      <c r="N10" s="45" t="s">
        <v>29</v>
      </c>
      <c r="O10" s="1"/>
    </row>
    <row r="11" ht="26" customHeight="1" spans="1:15">
      <c r="A11" s="1"/>
      <c r="B11" s="46" t="s">
        <v>30</v>
      </c>
      <c r="C11" s="47">
        <v>3</v>
      </c>
      <c r="D11" s="47">
        <v>3</v>
      </c>
      <c r="E11" s="48">
        <v>1</v>
      </c>
      <c r="F11" s="47">
        <v>3</v>
      </c>
      <c r="G11" s="47">
        <v>0</v>
      </c>
      <c r="H11" s="47">
        <v>0</v>
      </c>
      <c r="I11" s="49">
        <v>1</v>
      </c>
      <c r="J11" s="49">
        <f t="shared" ref="J11:J17" si="0">F11/(F11+G11)</f>
        <v>1</v>
      </c>
      <c r="K11" s="50" t="s">
        <v>31</v>
      </c>
      <c r="L11" s="47" t="s">
        <v>32</v>
      </c>
      <c r="M11" s="51">
        <v>46203</v>
      </c>
      <c r="N11" s="52" t="s">
        <v>33</v>
      </c>
      <c r="O11" s="1"/>
    </row>
    <row r="12" ht="26" customHeight="1" spans="1:15">
      <c r="A12" s="1"/>
      <c r="B12" s="46" t="s">
        <v>34</v>
      </c>
      <c r="C12" s="47">
        <v>47</v>
      </c>
      <c r="D12" s="47">
        <v>47</v>
      </c>
      <c r="E12" s="48">
        <v>1</v>
      </c>
      <c r="F12" s="47">
        <v>39</v>
      </c>
      <c r="G12" s="47">
        <v>1</v>
      </c>
      <c r="H12" s="47">
        <v>7</v>
      </c>
      <c r="I12" s="48">
        <v>0.8</v>
      </c>
      <c r="J12" s="48">
        <f t="shared" si="0"/>
        <v>0.975</v>
      </c>
      <c r="K12" s="53" t="s">
        <v>35</v>
      </c>
      <c r="L12" s="47" t="s">
        <v>32</v>
      </c>
      <c r="M12" s="51">
        <v>46202</v>
      </c>
      <c r="N12" s="52"/>
      <c r="O12" s="1"/>
    </row>
    <row r="13" ht="26" customHeight="1" spans="1:15">
      <c r="A13" s="1"/>
      <c r="B13" s="46" t="s">
        <v>36</v>
      </c>
      <c r="C13" s="47">
        <v>28</v>
      </c>
      <c r="D13" s="47">
        <v>28</v>
      </c>
      <c r="E13" s="48">
        <f t="shared" ref="E13:E16" si="1">D13/C13</f>
        <v>1</v>
      </c>
      <c r="F13" s="47">
        <v>17</v>
      </c>
      <c r="G13" s="47">
        <v>8</v>
      </c>
      <c r="H13" s="47">
        <v>3</v>
      </c>
      <c r="I13" s="48">
        <f t="shared" ref="I13:I20" si="2">F13/C13</f>
        <v>0.607142857142857</v>
      </c>
      <c r="J13" s="48">
        <f t="shared" si="0"/>
        <v>0.68</v>
      </c>
      <c r="K13" s="48"/>
      <c r="L13" s="47" t="s">
        <v>32</v>
      </c>
      <c r="M13" s="51">
        <v>46199</v>
      </c>
      <c r="N13" s="52"/>
      <c r="O13" s="1"/>
    </row>
    <row r="14" ht="26" customHeight="1" spans="1:15">
      <c r="A14" s="1"/>
      <c r="B14" s="46" t="s">
        <v>37</v>
      </c>
      <c r="C14" s="47">
        <v>29</v>
      </c>
      <c r="D14" s="47">
        <v>29</v>
      </c>
      <c r="E14" s="48">
        <f t="shared" si="1"/>
        <v>1</v>
      </c>
      <c r="F14" s="47">
        <v>20</v>
      </c>
      <c r="G14" s="47">
        <v>4</v>
      </c>
      <c r="H14" s="47">
        <v>5</v>
      </c>
      <c r="I14" s="48">
        <f t="shared" si="2"/>
        <v>0.689655172413793</v>
      </c>
      <c r="J14" s="48">
        <f t="shared" si="0"/>
        <v>0.833333333333333</v>
      </c>
      <c r="K14" s="48"/>
      <c r="L14" s="47" t="s">
        <v>32</v>
      </c>
      <c r="M14" s="51">
        <v>46199</v>
      </c>
      <c r="N14" s="52"/>
      <c r="O14" s="1"/>
    </row>
    <row r="15" ht="26" customHeight="1" spans="1:15">
      <c r="A15" s="1"/>
      <c r="B15" s="46" t="s">
        <v>38</v>
      </c>
      <c r="C15" s="47">
        <v>27</v>
      </c>
      <c r="D15" s="47">
        <v>27</v>
      </c>
      <c r="E15" s="48">
        <f t="shared" si="1"/>
        <v>1</v>
      </c>
      <c r="F15" s="47">
        <v>18</v>
      </c>
      <c r="G15" s="47">
        <v>3</v>
      </c>
      <c r="H15" s="47">
        <v>6</v>
      </c>
      <c r="I15" s="48">
        <f t="shared" si="2"/>
        <v>0.666666666666667</v>
      </c>
      <c r="J15" s="48">
        <f t="shared" si="0"/>
        <v>0.857142857142857</v>
      </c>
      <c r="K15" s="48"/>
      <c r="L15" s="47" t="s">
        <v>32</v>
      </c>
      <c r="M15" s="51">
        <v>46199</v>
      </c>
      <c r="N15" s="52"/>
      <c r="O15" s="1"/>
    </row>
    <row r="16" ht="26" customHeight="1" spans="1:15">
      <c r="A16" s="1"/>
      <c r="B16" s="46" t="s">
        <v>39</v>
      </c>
      <c r="C16" s="47">
        <v>31</v>
      </c>
      <c r="D16" s="47">
        <v>31</v>
      </c>
      <c r="E16" s="48">
        <f t="shared" si="1"/>
        <v>1</v>
      </c>
      <c r="F16" s="47">
        <v>19</v>
      </c>
      <c r="G16" s="47">
        <v>3</v>
      </c>
      <c r="H16" s="47">
        <v>9</v>
      </c>
      <c r="I16" s="48">
        <f t="shared" si="2"/>
        <v>0.612903225806452</v>
      </c>
      <c r="J16" s="48">
        <f t="shared" si="0"/>
        <v>0.863636363636364</v>
      </c>
      <c r="K16" s="48"/>
      <c r="L16" s="47" t="s">
        <v>32</v>
      </c>
      <c r="M16" s="51">
        <v>46199</v>
      </c>
      <c r="N16" s="52"/>
      <c r="O16" s="1"/>
    </row>
    <row r="17" ht="26" customHeight="1" spans="1:15">
      <c r="A17" s="1"/>
      <c r="B17" s="46" t="s">
        <v>40</v>
      </c>
      <c r="C17" s="47">
        <v>40</v>
      </c>
      <c r="D17" s="47">
        <v>40</v>
      </c>
      <c r="E17" s="48">
        <v>1</v>
      </c>
      <c r="F17" s="47">
        <v>32</v>
      </c>
      <c r="G17" s="47">
        <v>5</v>
      </c>
      <c r="H17" s="47">
        <v>3</v>
      </c>
      <c r="I17" s="48">
        <f t="shared" si="2"/>
        <v>0.8</v>
      </c>
      <c r="J17" s="48">
        <f t="shared" si="0"/>
        <v>0.864864864864865</v>
      </c>
      <c r="K17" s="53" t="s">
        <v>35</v>
      </c>
      <c r="L17" s="47" t="s">
        <v>32</v>
      </c>
      <c r="M17" s="51">
        <v>46204</v>
      </c>
      <c r="N17" s="52" t="s">
        <v>33</v>
      </c>
      <c r="O17" s="1"/>
    </row>
    <row r="18" ht="26" customHeight="1" spans="1:15">
      <c r="A18" s="1"/>
      <c r="B18" s="46" t="s">
        <v>41</v>
      </c>
      <c r="C18" s="47">
        <v>36</v>
      </c>
      <c r="D18" s="47">
        <v>36</v>
      </c>
      <c r="E18" s="48">
        <v>1</v>
      </c>
      <c r="F18" s="47">
        <v>24</v>
      </c>
      <c r="G18" s="47">
        <v>0</v>
      </c>
      <c r="H18" s="47">
        <v>12</v>
      </c>
      <c r="I18" s="48">
        <f t="shared" si="2"/>
        <v>0.666666666666667</v>
      </c>
      <c r="J18" s="48">
        <v>0.72</v>
      </c>
      <c r="K18" s="53" t="s">
        <v>35</v>
      </c>
      <c r="L18" s="47" t="s">
        <v>32</v>
      </c>
      <c r="M18" s="51">
        <v>46204</v>
      </c>
      <c r="N18" s="52" t="s">
        <v>33</v>
      </c>
      <c r="O18" s="1"/>
    </row>
    <row r="19" ht="26" customHeight="1" spans="1:15">
      <c r="A19" s="1"/>
      <c r="B19" s="46" t="s">
        <v>42</v>
      </c>
      <c r="C19" s="47">
        <v>25</v>
      </c>
      <c r="D19" s="47">
        <v>25</v>
      </c>
      <c r="E19" s="48">
        <f t="shared" ref="E19:E27" si="3">D19/C19</f>
        <v>1</v>
      </c>
      <c r="F19" s="47">
        <v>20</v>
      </c>
      <c r="G19" s="47">
        <v>5</v>
      </c>
      <c r="H19" s="47">
        <v>0</v>
      </c>
      <c r="I19" s="48">
        <f t="shared" si="2"/>
        <v>0.8</v>
      </c>
      <c r="J19" s="48">
        <f t="shared" ref="J19:J20" si="4">F19/(F19+G19)</f>
        <v>0.8</v>
      </c>
      <c r="K19" s="48"/>
      <c r="L19" s="47" t="s">
        <v>32</v>
      </c>
      <c r="M19" s="51">
        <v>46204</v>
      </c>
      <c r="N19" s="52" t="s">
        <v>33</v>
      </c>
      <c r="O19" s="1"/>
    </row>
    <row r="20" ht="26" customHeight="1" spans="1:15">
      <c r="A20" s="1"/>
      <c r="B20" s="46" t="s">
        <v>43</v>
      </c>
      <c r="C20" s="47">
        <v>15</v>
      </c>
      <c r="D20" s="47">
        <v>15</v>
      </c>
      <c r="E20" s="48">
        <f t="shared" si="3"/>
        <v>1</v>
      </c>
      <c r="F20" s="47">
        <v>14</v>
      </c>
      <c r="G20" s="47">
        <v>1</v>
      </c>
      <c r="H20" s="47">
        <v>0</v>
      </c>
      <c r="I20" s="48">
        <f t="shared" si="2"/>
        <v>0.933333333333333</v>
      </c>
      <c r="J20" s="48">
        <f t="shared" si="4"/>
        <v>0.933333333333333</v>
      </c>
      <c r="K20" s="48"/>
      <c r="L20" s="47" t="s">
        <v>32</v>
      </c>
      <c r="M20" s="51">
        <v>46204</v>
      </c>
      <c r="N20" s="52" t="s">
        <v>33</v>
      </c>
      <c r="O20" s="1"/>
    </row>
    <row r="21" ht="26" customHeight="1" spans="1:15">
      <c r="A21" s="1"/>
      <c r="B21" s="46" t="s">
        <v>44</v>
      </c>
      <c r="C21" s="47">
        <v>25</v>
      </c>
      <c r="D21" s="47">
        <v>25</v>
      </c>
      <c r="E21" s="48">
        <f t="shared" si="3"/>
        <v>1</v>
      </c>
      <c r="F21" s="47">
        <v>0</v>
      </c>
      <c r="G21" s="47">
        <v>0</v>
      </c>
      <c r="H21" s="47">
        <v>0</v>
      </c>
      <c r="I21" s="48">
        <v>0</v>
      </c>
      <c r="J21" s="48">
        <v>0</v>
      </c>
      <c r="K21" s="48"/>
      <c r="L21" s="47" t="s">
        <v>32</v>
      </c>
      <c r="M21" s="51">
        <v>46204</v>
      </c>
      <c r="N21" s="52" t="s">
        <v>33</v>
      </c>
      <c r="O21" s="1"/>
    </row>
    <row r="22" ht="26" customHeight="1" spans="1:15">
      <c r="A22" s="1"/>
      <c r="B22" s="46" t="s">
        <v>45</v>
      </c>
      <c r="C22" s="47">
        <v>10</v>
      </c>
      <c r="D22" s="47">
        <v>10</v>
      </c>
      <c r="E22" s="48">
        <f t="shared" si="3"/>
        <v>1</v>
      </c>
      <c r="F22" s="47">
        <v>0</v>
      </c>
      <c r="G22" s="47">
        <v>0</v>
      </c>
      <c r="H22" s="47">
        <v>0</v>
      </c>
      <c r="I22" s="48">
        <v>0</v>
      </c>
      <c r="J22" s="48">
        <v>0</v>
      </c>
      <c r="K22" s="48"/>
      <c r="L22" s="47" t="s">
        <v>32</v>
      </c>
      <c r="M22" s="51">
        <v>46204</v>
      </c>
      <c r="N22" s="52" t="s">
        <v>33</v>
      </c>
      <c r="O22" s="1"/>
    </row>
    <row r="23" ht="26" customHeight="1" spans="1:15">
      <c r="A23" s="1"/>
      <c r="B23" s="46" t="s">
        <v>46</v>
      </c>
      <c r="C23" s="47">
        <v>19</v>
      </c>
      <c r="D23" s="47">
        <v>19</v>
      </c>
      <c r="E23" s="48">
        <f t="shared" si="3"/>
        <v>1</v>
      </c>
      <c r="F23" s="47">
        <v>14</v>
      </c>
      <c r="G23" s="47">
        <v>3</v>
      </c>
      <c r="H23" s="47">
        <v>2</v>
      </c>
      <c r="I23" s="48">
        <f t="shared" ref="I23:I27" si="5">F23/C23</f>
        <v>0.736842105263158</v>
      </c>
      <c r="J23" s="48">
        <f>F23/(F23+G23)</f>
        <v>0.823529411764706</v>
      </c>
      <c r="K23" s="48"/>
      <c r="L23" s="47" t="s">
        <v>32</v>
      </c>
      <c r="M23" s="51">
        <v>46199</v>
      </c>
      <c r="N23" s="52"/>
      <c r="O23" s="1"/>
    </row>
    <row r="24" ht="26" customHeight="1" spans="1:15">
      <c r="A24" s="1"/>
      <c r="B24" s="46" t="s">
        <v>47</v>
      </c>
      <c r="C24" s="47">
        <v>18</v>
      </c>
      <c r="D24" s="47">
        <v>18</v>
      </c>
      <c r="E24" s="48">
        <f t="shared" si="3"/>
        <v>1</v>
      </c>
      <c r="F24" s="47">
        <v>15</v>
      </c>
      <c r="G24" s="47">
        <v>2</v>
      </c>
      <c r="H24" s="47">
        <v>1</v>
      </c>
      <c r="I24" s="48">
        <f t="shared" si="5"/>
        <v>0.833333333333333</v>
      </c>
      <c r="J24" s="48">
        <v>0.83</v>
      </c>
      <c r="K24" s="53" t="s">
        <v>35</v>
      </c>
      <c r="L24" s="47" t="s">
        <v>32</v>
      </c>
      <c r="M24" s="51">
        <v>46204</v>
      </c>
      <c r="N24" s="52" t="s">
        <v>33</v>
      </c>
      <c r="O24" s="1"/>
    </row>
    <row r="25" ht="26" customHeight="1" spans="1:15">
      <c r="A25" s="1"/>
      <c r="B25" s="46" t="s">
        <v>48</v>
      </c>
      <c r="C25" s="47">
        <v>15</v>
      </c>
      <c r="D25" s="47">
        <v>15</v>
      </c>
      <c r="E25" s="48">
        <f t="shared" si="3"/>
        <v>1</v>
      </c>
      <c r="F25" s="47">
        <v>15</v>
      </c>
      <c r="G25" s="47">
        <v>3</v>
      </c>
      <c r="H25" s="47">
        <v>0</v>
      </c>
      <c r="I25" s="48">
        <f t="shared" si="5"/>
        <v>1</v>
      </c>
      <c r="J25" s="54">
        <f>F25/(F25+G25)</f>
        <v>0.833333333333333</v>
      </c>
      <c r="K25" s="54"/>
      <c r="L25" s="47" t="s">
        <v>32</v>
      </c>
      <c r="M25" s="51">
        <v>46204</v>
      </c>
      <c r="N25" s="52" t="s">
        <v>33</v>
      </c>
      <c r="O25" s="1"/>
    </row>
    <row r="26" ht="26" customHeight="1" spans="1:15">
      <c r="A26" s="1"/>
      <c r="B26" s="46" t="s">
        <v>49</v>
      </c>
      <c r="C26" s="47">
        <v>16</v>
      </c>
      <c r="D26" s="47">
        <v>16</v>
      </c>
      <c r="E26" s="48">
        <f t="shared" si="3"/>
        <v>1</v>
      </c>
      <c r="F26" s="47">
        <v>0</v>
      </c>
      <c r="G26" s="47">
        <v>0</v>
      </c>
      <c r="H26" s="47">
        <v>0</v>
      </c>
      <c r="I26" s="48">
        <f t="shared" si="5"/>
        <v>0</v>
      </c>
      <c r="J26" s="48">
        <v>0</v>
      </c>
      <c r="K26" s="48"/>
      <c r="L26" s="47" t="s">
        <v>32</v>
      </c>
      <c r="M26" s="51">
        <v>46204</v>
      </c>
      <c r="N26" s="52" t="s">
        <v>33</v>
      </c>
      <c r="O26" s="1"/>
    </row>
    <row r="27" ht="26" customHeight="1" spans="1:15">
      <c r="A27" s="1"/>
      <c r="B27" s="46" t="s">
        <v>50</v>
      </c>
      <c r="C27" s="47">
        <v>13</v>
      </c>
      <c r="D27" s="47">
        <v>13</v>
      </c>
      <c r="E27" s="48">
        <f t="shared" si="3"/>
        <v>1</v>
      </c>
      <c r="F27" s="47">
        <v>0</v>
      </c>
      <c r="G27" s="47">
        <v>0</v>
      </c>
      <c r="H27" s="47">
        <v>0</v>
      </c>
      <c r="I27" s="48">
        <f t="shared" si="5"/>
        <v>0</v>
      </c>
      <c r="J27" s="48">
        <v>0</v>
      </c>
      <c r="K27" s="48"/>
      <c r="L27" s="47" t="s">
        <v>32</v>
      </c>
      <c r="M27" s="51">
        <v>46204</v>
      </c>
      <c r="N27" s="52" t="s">
        <v>33</v>
      </c>
      <c r="O27" s="1"/>
    </row>
    <row r="28" ht="26" customHeight="1" spans="1:15">
      <c r="A28" s="1"/>
      <c r="B28" s="46" t="s">
        <v>51</v>
      </c>
      <c r="C28" s="47">
        <v>0</v>
      </c>
      <c r="D28" s="47">
        <v>0</v>
      </c>
      <c r="E28" s="48">
        <v>0</v>
      </c>
      <c r="F28" s="47">
        <v>0</v>
      </c>
      <c r="G28" s="47">
        <v>0</v>
      </c>
      <c r="H28" s="47">
        <v>0</v>
      </c>
      <c r="I28" s="48">
        <v>0</v>
      </c>
      <c r="J28" s="48">
        <v>0</v>
      </c>
      <c r="K28" s="48"/>
      <c r="L28" s="47" t="s">
        <v>32</v>
      </c>
      <c r="M28" s="51">
        <v>46204</v>
      </c>
      <c r="N28" s="52" t="s">
        <v>33</v>
      </c>
      <c r="O28" s="1"/>
    </row>
    <row r="29" ht="26" customHeight="1" spans="1:15">
      <c r="A29" s="1"/>
      <c r="B29" s="46" t="s">
        <v>52</v>
      </c>
      <c r="C29" s="47">
        <v>24</v>
      </c>
      <c r="D29" s="47">
        <v>24</v>
      </c>
      <c r="E29" s="48">
        <f t="shared" ref="E29:E40" si="6">D29/C29</f>
        <v>1</v>
      </c>
      <c r="F29" s="47">
        <v>0</v>
      </c>
      <c r="G29" s="47">
        <v>0</v>
      </c>
      <c r="H29" s="47">
        <v>0</v>
      </c>
      <c r="I29" s="48">
        <v>0</v>
      </c>
      <c r="J29" s="48">
        <v>0</v>
      </c>
      <c r="K29" s="48"/>
      <c r="L29" s="47" t="s">
        <v>32</v>
      </c>
      <c r="M29" s="51">
        <v>46204</v>
      </c>
      <c r="N29" s="52" t="s">
        <v>33</v>
      </c>
      <c r="O29" s="1"/>
    </row>
    <row r="30" ht="26" customHeight="1" spans="1:15">
      <c r="A30" s="1"/>
      <c r="B30" s="46" t="s">
        <v>53</v>
      </c>
      <c r="C30" s="47">
        <v>24</v>
      </c>
      <c r="D30" s="47">
        <v>24</v>
      </c>
      <c r="E30" s="48">
        <f t="shared" si="6"/>
        <v>1</v>
      </c>
      <c r="F30" s="47">
        <v>22</v>
      </c>
      <c r="G30" s="47">
        <v>2</v>
      </c>
      <c r="H30" s="47">
        <v>0</v>
      </c>
      <c r="I30" s="48">
        <f t="shared" ref="I30:I35" si="7">F30/C30</f>
        <v>0.916666666666667</v>
      </c>
      <c r="J30" s="48">
        <f t="shared" ref="J30:J31" si="8">F30/(F30+G30)</f>
        <v>0.916666666666667</v>
      </c>
      <c r="K30" s="48"/>
      <c r="L30" s="47" t="s">
        <v>32</v>
      </c>
      <c r="M30" s="51">
        <v>46202</v>
      </c>
      <c r="N30" s="52"/>
      <c r="O30" s="1"/>
    </row>
    <row r="31" ht="26" customHeight="1" spans="1:15">
      <c r="A31" s="1"/>
      <c r="B31" s="46" t="s">
        <v>54</v>
      </c>
      <c r="C31" s="47">
        <v>17</v>
      </c>
      <c r="D31" s="47">
        <v>17</v>
      </c>
      <c r="E31" s="48">
        <f t="shared" si="6"/>
        <v>1</v>
      </c>
      <c r="F31" s="47">
        <v>17</v>
      </c>
      <c r="G31" s="47">
        <v>0</v>
      </c>
      <c r="H31" s="47">
        <v>0</v>
      </c>
      <c r="I31" s="48">
        <f t="shared" si="7"/>
        <v>1</v>
      </c>
      <c r="J31" s="48">
        <f t="shared" si="8"/>
        <v>1</v>
      </c>
      <c r="K31" s="48"/>
      <c r="L31" s="47" t="s">
        <v>32</v>
      </c>
      <c r="M31" s="51">
        <v>46202</v>
      </c>
      <c r="N31" s="52"/>
      <c r="O31" s="1"/>
    </row>
    <row r="32" ht="26" customHeight="1" spans="1:15">
      <c r="A32" s="1"/>
      <c r="B32" s="46" t="s">
        <v>55</v>
      </c>
      <c r="C32" s="47">
        <v>21</v>
      </c>
      <c r="D32" s="47">
        <v>21</v>
      </c>
      <c r="E32" s="48">
        <f t="shared" si="6"/>
        <v>1</v>
      </c>
      <c r="F32" s="47">
        <v>20</v>
      </c>
      <c r="G32" s="47">
        <v>1</v>
      </c>
      <c r="H32" s="47">
        <v>0</v>
      </c>
      <c r="I32" s="48">
        <f t="shared" si="7"/>
        <v>0.952380952380952</v>
      </c>
      <c r="J32" s="48">
        <v>0</v>
      </c>
      <c r="K32" s="48"/>
      <c r="L32" s="47" t="s">
        <v>32</v>
      </c>
      <c r="M32" s="51">
        <v>46202</v>
      </c>
      <c r="N32" s="52"/>
      <c r="O32" s="1"/>
    </row>
    <row r="33" ht="26" customHeight="1" spans="1:15">
      <c r="A33" s="1"/>
      <c r="B33" s="46" t="s">
        <v>56</v>
      </c>
      <c r="C33" s="47">
        <v>40</v>
      </c>
      <c r="D33" s="47">
        <v>40</v>
      </c>
      <c r="E33" s="48">
        <f t="shared" si="6"/>
        <v>1</v>
      </c>
      <c r="F33" s="47">
        <v>20</v>
      </c>
      <c r="G33" s="47">
        <v>0</v>
      </c>
      <c r="H33" s="47">
        <v>0</v>
      </c>
      <c r="I33" s="48">
        <f t="shared" si="7"/>
        <v>0.5</v>
      </c>
      <c r="J33" s="49">
        <f>F33/(F33+G33)</f>
        <v>1</v>
      </c>
      <c r="K33" s="49"/>
      <c r="L33" s="47" t="s">
        <v>32</v>
      </c>
      <c r="M33" s="51">
        <v>46202</v>
      </c>
      <c r="N33" s="52"/>
      <c r="O33" s="1"/>
    </row>
    <row r="34" ht="26" customHeight="1" spans="1:15">
      <c r="A34" s="1"/>
      <c r="B34" s="46" t="s">
        <v>57</v>
      </c>
      <c r="C34" s="47">
        <v>35</v>
      </c>
      <c r="D34" s="47">
        <v>35</v>
      </c>
      <c r="E34" s="48">
        <f t="shared" si="6"/>
        <v>1</v>
      </c>
      <c r="F34" s="47">
        <v>0</v>
      </c>
      <c r="G34" s="47">
        <v>0</v>
      </c>
      <c r="H34" s="47">
        <v>0</v>
      </c>
      <c r="I34" s="48">
        <f t="shared" si="7"/>
        <v>0</v>
      </c>
      <c r="J34" s="48">
        <v>0</v>
      </c>
      <c r="K34" s="48"/>
      <c r="L34" s="47" t="s">
        <v>32</v>
      </c>
      <c r="M34" s="51">
        <v>46203</v>
      </c>
      <c r="N34" s="52" t="s">
        <v>33</v>
      </c>
      <c r="O34" s="1"/>
    </row>
    <row r="35" ht="26" customHeight="1" spans="1:15">
      <c r="A35" s="1"/>
      <c r="B35" s="46" t="s">
        <v>58</v>
      </c>
      <c r="C35" s="47">
        <v>36</v>
      </c>
      <c r="D35" s="47">
        <v>36</v>
      </c>
      <c r="E35" s="48">
        <f t="shared" si="6"/>
        <v>1</v>
      </c>
      <c r="F35" s="47">
        <v>24</v>
      </c>
      <c r="G35" s="47">
        <v>5</v>
      </c>
      <c r="H35" s="47">
        <v>7</v>
      </c>
      <c r="I35" s="48">
        <f t="shared" si="7"/>
        <v>0.666666666666667</v>
      </c>
      <c r="J35" s="48">
        <v>1</v>
      </c>
      <c r="K35" s="48"/>
      <c r="L35" s="47" t="s">
        <v>32</v>
      </c>
      <c r="M35" s="51">
        <v>46204</v>
      </c>
      <c r="N35" s="52" t="s">
        <v>33</v>
      </c>
      <c r="O35" s="1"/>
    </row>
    <row r="36" ht="26" customHeight="1" spans="1:15">
      <c r="A36" s="1"/>
      <c r="B36" s="46" t="s">
        <v>59</v>
      </c>
      <c r="C36" s="47">
        <v>19</v>
      </c>
      <c r="D36" s="47">
        <v>19</v>
      </c>
      <c r="E36" s="48">
        <f t="shared" si="6"/>
        <v>1</v>
      </c>
      <c r="F36" s="47">
        <v>0</v>
      </c>
      <c r="G36" s="47">
        <v>0</v>
      </c>
      <c r="H36" s="47">
        <v>0</v>
      </c>
      <c r="I36" s="48">
        <v>0</v>
      </c>
      <c r="J36" s="48">
        <v>0</v>
      </c>
      <c r="K36" s="48"/>
      <c r="L36" s="47" t="s">
        <v>32</v>
      </c>
      <c r="M36" s="51">
        <v>46204</v>
      </c>
      <c r="N36" s="52" t="s">
        <v>33</v>
      </c>
      <c r="O36" s="1"/>
    </row>
    <row r="37" ht="26" customHeight="1" spans="1:15">
      <c r="A37" s="1"/>
      <c r="B37" s="46" t="s">
        <v>60</v>
      </c>
      <c r="C37" s="47">
        <v>24</v>
      </c>
      <c r="D37" s="47">
        <v>24</v>
      </c>
      <c r="E37" s="48">
        <f t="shared" si="6"/>
        <v>1</v>
      </c>
      <c r="F37" s="47">
        <v>16</v>
      </c>
      <c r="G37" s="47">
        <v>0</v>
      </c>
      <c r="H37" s="47">
        <v>6</v>
      </c>
      <c r="I37" s="48">
        <f t="shared" ref="I37:I40" si="9">F37/C37</f>
        <v>0.666666666666667</v>
      </c>
      <c r="J37" s="48">
        <v>0</v>
      </c>
      <c r="K37" s="53" t="s">
        <v>35</v>
      </c>
      <c r="L37" s="47" t="s">
        <v>32</v>
      </c>
      <c r="M37" s="51">
        <v>46203</v>
      </c>
      <c r="N37" s="52" t="s">
        <v>33</v>
      </c>
      <c r="O37" s="1"/>
    </row>
    <row r="38" ht="26" customHeight="1" spans="1:15">
      <c r="A38" s="1"/>
      <c r="B38" s="46" t="s">
        <v>61</v>
      </c>
      <c r="C38" s="47">
        <v>33</v>
      </c>
      <c r="D38" s="47">
        <v>33</v>
      </c>
      <c r="E38" s="48">
        <f t="shared" si="6"/>
        <v>1</v>
      </c>
      <c r="F38" s="47">
        <v>20</v>
      </c>
      <c r="G38" s="47">
        <v>0</v>
      </c>
      <c r="H38" s="47">
        <v>10</v>
      </c>
      <c r="I38" s="48">
        <f t="shared" si="9"/>
        <v>0.606060606060606</v>
      </c>
      <c r="J38" s="48">
        <v>0</v>
      </c>
      <c r="K38" s="53" t="s">
        <v>35</v>
      </c>
      <c r="L38" s="47" t="s">
        <v>32</v>
      </c>
      <c r="M38" s="51">
        <v>46203</v>
      </c>
      <c r="N38" s="52" t="s">
        <v>33</v>
      </c>
      <c r="O38" s="1"/>
    </row>
    <row r="39" ht="26" customHeight="1" spans="1:15">
      <c r="A39" s="1"/>
      <c r="B39" s="46" t="s">
        <v>62</v>
      </c>
      <c r="C39" s="47">
        <v>28</v>
      </c>
      <c r="D39" s="47">
        <v>28</v>
      </c>
      <c r="E39" s="48">
        <f t="shared" si="6"/>
        <v>1</v>
      </c>
      <c r="F39" s="47">
        <v>0</v>
      </c>
      <c r="G39" s="47">
        <v>0</v>
      </c>
      <c r="H39" s="47">
        <v>0</v>
      </c>
      <c r="I39" s="48">
        <f t="shared" si="9"/>
        <v>0</v>
      </c>
      <c r="J39" s="48">
        <v>0</v>
      </c>
      <c r="K39" s="53" t="s">
        <v>35</v>
      </c>
      <c r="L39" s="47" t="s">
        <v>32</v>
      </c>
      <c r="M39" s="51">
        <v>46203</v>
      </c>
      <c r="N39" s="52" t="s">
        <v>33</v>
      </c>
      <c r="O39" s="1"/>
    </row>
    <row r="40" ht="26" customHeight="1" spans="1:15">
      <c r="A40" s="1"/>
      <c r="B40" s="46" t="s">
        <v>63</v>
      </c>
      <c r="C40" s="47">
        <v>37</v>
      </c>
      <c r="D40" s="47">
        <v>0</v>
      </c>
      <c r="E40" s="48">
        <f t="shared" si="6"/>
        <v>0</v>
      </c>
      <c r="F40" s="47">
        <v>15</v>
      </c>
      <c r="G40" s="47">
        <v>10</v>
      </c>
      <c r="H40" s="47">
        <v>7</v>
      </c>
      <c r="I40" s="48">
        <f t="shared" si="9"/>
        <v>0.405405405405405</v>
      </c>
      <c r="J40" s="48">
        <v>0</v>
      </c>
      <c r="K40" s="53" t="s">
        <v>35</v>
      </c>
      <c r="L40" s="47" t="s">
        <v>32</v>
      </c>
      <c r="M40" s="51">
        <v>46203</v>
      </c>
      <c r="N40" s="52" t="s">
        <v>33</v>
      </c>
      <c r="O40" s="1"/>
    </row>
    <row r="41" ht="26" customHeight="1" spans="1:15">
      <c r="A41" s="1"/>
      <c r="B41" s="46" t="s">
        <v>64</v>
      </c>
      <c r="C41" s="47">
        <v>10</v>
      </c>
      <c r="D41" s="47">
        <v>10</v>
      </c>
      <c r="E41" s="48">
        <v>1</v>
      </c>
      <c r="F41" s="47">
        <v>10</v>
      </c>
      <c r="G41" s="47">
        <v>0</v>
      </c>
      <c r="H41" s="47">
        <v>0</v>
      </c>
      <c r="I41" s="49">
        <v>1</v>
      </c>
      <c r="J41" s="49">
        <v>1</v>
      </c>
      <c r="K41" s="50" t="s">
        <v>31</v>
      </c>
      <c r="L41" s="47" t="s">
        <v>32</v>
      </c>
      <c r="M41" s="51">
        <v>46199</v>
      </c>
      <c r="N41" s="52"/>
      <c r="O41" s="1"/>
    </row>
    <row r="42" ht="26" customHeight="1" spans="1:15">
      <c r="A42" s="1"/>
      <c r="B42" s="46" t="s">
        <v>65</v>
      </c>
      <c r="C42" s="47">
        <v>10</v>
      </c>
      <c r="D42" s="47">
        <v>10</v>
      </c>
      <c r="E42" s="48">
        <v>1</v>
      </c>
      <c r="F42" s="47">
        <v>10</v>
      </c>
      <c r="G42" s="47">
        <v>0</v>
      </c>
      <c r="H42" s="47">
        <v>0</v>
      </c>
      <c r="I42" s="49">
        <f t="shared" ref="I42:I54" si="10">F42/C42</f>
        <v>1</v>
      </c>
      <c r="J42" s="49">
        <v>1</v>
      </c>
      <c r="K42" s="50" t="s">
        <v>31</v>
      </c>
      <c r="L42" s="47" t="s">
        <v>32</v>
      </c>
      <c r="M42" s="51">
        <v>46203</v>
      </c>
      <c r="N42" s="52"/>
      <c r="O42" s="1"/>
    </row>
    <row r="43" ht="26" customHeight="1" spans="1:15">
      <c r="A43" s="1"/>
      <c r="B43" s="46" t="s">
        <v>66</v>
      </c>
      <c r="C43" s="47">
        <v>18</v>
      </c>
      <c r="D43" s="47">
        <v>18</v>
      </c>
      <c r="E43" s="48">
        <v>1</v>
      </c>
      <c r="F43" s="47">
        <v>18</v>
      </c>
      <c r="G43" s="47">
        <v>0</v>
      </c>
      <c r="H43" s="47">
        <v>0</v>
      </c>
      <c r="I43" s="49">
        <f t="shared" si="10"/>
        <v>1</v>
      </c>
      <c r="J43" s="49">
        <v>1</v>
      </c>
      <c r="K43" s="50" t="s">
        <v>31</v>
      </c>
      <c r="L43" s="47" t="s">
        <v>32</v>
      </c>
      <c r="M43" s="51">
        <v>46203</v>
      </c>
      <c r="N43" s="52"/>
      <c r="O43" s="1"/>
    </row>
    <row r="44" ht="26" customHeight="1" spans="1:15">
      <c r="A44" s="1"/>
      <c r="B44" s="46" t="s">
        <v>67</v>
      </c>
      <c r="C44" s="47">
        <v>19</v>
      </c>
      <c r="D44" s="47">
        <v>19</v>
      </c>
      <c r="E44" s="48">
        <f t="shared" ref="E44:E45" si="11">D44/C44</f>
        <v>1</v>
      </c>
      <c r="F44" s="47">
        <v>19</v>
      </c>
      <c r="G44" s="47">
        <v>0</v>
      </c>
      <c r="H44" s="47">
        <v>0</v>
      </c>
      <c r="I44" s="49">
        <f t="shared" si="10"/>
        <v>1</v>
      </c>
      <c r="J44" s="49">
        <v>1</v>
      </c>
      <c r="K44" s="50" t="s">
        <v>31</v>
      </c>
      <c r="L44" s="47" t="s">
        <v>32</v>
      </c>
      <c r="M44" s="51">
        <v>46203</v>
      </c>
      <c r="N44" s="52"/>
      <c r="O44" s="1"/>
    </row>
    <row r="45" ht="26" customHeight="1" spans="1:15">
      <c r="A45" s="1"/>
      <c r="B45" s="46" t="s">
        <v>68</v>
      </c>
      <c r="C45" s="47">
        <v>19</v>
      </c>
      <c r="D45" s="47">
        <v>19</v>
      </c>
      <c r="E45" s="48">
        <f t="shared" si="11"/>
        <v>1</v>
      </c>
      <c r="F45" s="47">
        <v>10</v>
      </c>
      <c r="G45" s="47">
        <v>0</v>
      </c>
      <c r="H45" s="47">
        <v>0</v>
      </c>
      <c r="I45" s="48">
        <f t="shared" si="10"/>
        <v>0.526315789473684</v>
      </c>
      <c r="J45" s="48">
        <v>0.53</v>
      </c>
      <c r="K45" s="53" t="s">
        <v>35</v>
      </c>
      <c r="L45" s="47" t="s">
        <v>32</v>
      </c>
      <c r="M45" s="51">
        <v>46203</v>
      </c>
      <c r="N45" s="52"/>
      <c r="O45" s="1"/>
    </row>
    <row r="46" ht="26" customHeight="1" spans="1:15">
      <c r="A46" s="1"/>
      <c r="B46" s="46" t="s">
        <v>69</v>
      </c>
      <c r="C46" s="47">
        <v>15</v>
      </c>
      <c r="D46" s="47">
        <v>15</v>
      </c>
      <c r="E46" s="48">
        <v>1</v>
      </c>
      <c r="F46" s="47">
        <v>15</v>
      </c>
      <c r="G46" s="47">
        <v>0</v>
      </c>
      <c r="H46" s="47">
        <v>0</v>
      </c>
      <c r="I46" s="49">
        <f t="shared" si="10"/>
        <v>1</v>
      </c>
      <c r="J46" s="49">
        <f t="shared" ref="J46:J48" si="12">(F46-G46)/F46</f>
        <v>1</v>
      </c>
      <c r="K46" s="50" t="s">
        <v>31</v>
      </c>
      <c r="L46" s="47" t="s">
        <v>32</v>
      </c>
      <c r="M46" s="51">
        <v>46199</v>
      </c>
      <c r="N46" s="52"/>
      <c r="O46" s="1"/>
    </row>
    <row r="47" ht="26" customHeight="1" spans="1:15">
      <c r="A47" s="1"/>
      <c r="B47" s="46" t="s">
        <v>70</v>
      </c>
      <c r="C47" s="47">
        <v>17</v>
      </c>
      <c r="D47" s="47">
        <v>17</v>
      </c>
      <c r="E47" s="48">
        <v>1</v>
      </c>
      <c r="F47" s="47">
        <v>17</v>
      </c>
      <c r="G47" s="47">
        <v>0</v>
      </c>
      <c r="H47" s="47">
        <v>0</v>
      </c>
      <c r="I47" s="49">
        <f t="shared" si="10"/>
        <v>1</v>
      </c>
      <c r="J47" s="49">
        <f t="shared" si="12"/>
        <v>1</v>
      </c>
      <c r="K47" s="49"/>
      <c r="L47" s="47" t="s">
        <v>32</v>
      </c>
      <c r="M47" s="51">
        <v>46199</v>
      </c>
      <c r="N47" s="52"/>
      <c r="O47" s="1"/>
    </row>
    <row r="48" ht="26" customHeight="1" spans="1:15">
      <c r="A48" s="1"/>
      <c r="B48" s="46" t="s">
        <v>71</v>
      </c>
      <c r="C48" s="47">
        <v>14</v>
      </c>
      <c r="D48" s="47">
        <v>14</v>
      </c>
      <c r="E48" s="48">
        <v>1</v>
      </c>
      <c r="F48" s="47">
        <v>14</v>
      </c>
      <c r="G48" s="47">
        <v>0</v>
      </c>
      <c r="H48" s="47">
        <v>0</v>
      </c>
      <c r="I48" s="49">
        <f t="shared" si="10"/>
        <v>1</v>
      </c>
      <c r="J48" s="49">
        <f t="shared" si="12"/>
        <v>1</v>
      </c>
      <c r="K48" s="49"/>
      <c r="L48" s="47" t="s">
        <v>32</v>
      </c>
      <c r="M48" s="51">
        <v>46199</v>
      </c>
      <c r="N48" s="52"/>
      <c r="O48" s="1"/>
    </row>
    <row r="49" ht="26" customHeight="1" spans="1:15">
      <c r="A49" s="1"/>
      <c r="B49" s="46" t="s">
        <v>72</v>
      </c>
      <c r="C49" s="47">
        <v>25</v>
      </c>
      <c r="D49" s="47">
        <v>25</v>
      </c>
      <c r="E49" s="48">
        <f>D49/C49</f>
        <v>1</v>
      </c>
      <c r="F49" s="47">
        <v>23</v>
      </c>
      <c r="G49" s="47">
        <v>0</v>
      </c>
      <c r="H49" s="47">
        <v>2</v>
      </c>
      <c r="I49" s="48">
        <f t="shared" si="10"/>
        <v>0.92</v>
      </c>
      <c r="J49" s="49">
        <v>1</v>
      </c>
      <c r="K49" s="49"/>
      <c r="L49" s="47" t="s">
        <v>32</v>
      </c>
      <c r="M49" s="51">
        <v>46199</v>
      </c>
      <c r="N49" s="52"/>
      <c r="O49" s="1"/>
    </row>
    <row r="50" ht="26" customHeight="1" spans="1:15">
      <c r="A50" s="1"/>
      <c r="B50" s="46" t="s">
        <v>73</v>
      </c>
      <c r="C50" s="47">
        <v>14</v>
      </c>
      <c r="D50" s="47">
        <v>14</v>
      </c>
      <c r="E50" s="48">
        <v>1</v>
      </c>
      <c r="F50" s="47">
        <v>14</v>
      </c>
      <c r="G50" s="47">
        <v>0</v>
      </c>
      <c r="H50" s="47">
        <v>0</v>
      </c>
      <c r="I50" s="49">
        <f t="shared" si="10"/>
        <v>1</v>
      </c>
      <c r="J50" s="49">
        <f t="shared" ref="J50:J51" si="13">(F50-G50)/F50</f>
        <v>1</v>
      </c>
      <c r="K50" s="50" t="s">
        <v>31</v>
      </c>
      <c r="L50" s="47" t="s">
        <v>32</v>
      </c>
      <c r="M50" s="51">
        <v>46199</v>
      </c>
      <c r="N50" s="52"/>
      <c r="O50" s="1"/>
    </row>
    <row r="51" ht="26" customHeight="1" spans="1:15">
      <c r="A51" s="1"/>
      <c r="B51" s="46" t="s">
        <v>74</v>
      </c>
      <c r="C51" s="47">
        <v>17</v>
      </c>
      <c r="D51" s="47">
        <v>17</v>
      </c>
      <c r="E51" s="48">
        <v>1</v>
      </c>
      <c r="F51" s="47">
        <v>17</v>
      </c>
      <c r="G51" s="47">
        <v>0</v>
      </c>
      <c r="H51" s="47">
        <v>0</v>
      </c>
      <c r="I51" s="49">
        <f t="shared" si="10"/>
        <v>1</v>
      </c>
      <c r="J51" s="49">
        <f t="shared" si="13"/>
        <v>1</v>
      </c>
      <c r="K51" s="49"/>
      <c r="L51" s="47" t="s">
        <v>32</v>
      </c>
      <c r="M51" s="51">
        <v>46199</v>
      </c>
      <c r="N51" s="52"/>
      <c r="O51" s="1"/>
    </row>
    <row r="52" ht="26" customHeight="1" spans="1:15">
      <c r="A52" s="1"/>
      <c r="B52" s="46" t="s">
        <v>75</v>
      </c>
      <c r="C52" s="47">
        <v>21</v>
      </c>
      <c r="D52" s="47">
        <v>21</v>
      </c>
      <c r="E52" s="48">
        <f>D52/C52</f>
        <v>1</v>
      </c>
      <c r="F52" s="47">
        <v>21</v>
      </c>
      <c r="G52" s="47">
        <v>0</v>
      </c>
      <c r="H52" s="47">
        <v>0</v>
      </c>
      <c r="I52" s="49">
        <f t="shared" si="10"/>
        <v>1</v>
      </c>
      <c r="J52" s="49">
        <v>1</v>
      </c>
      <c r="K52" s="49"/>
      <c r="L52" s="47" t="s">
        <v>32</v>
      </c>
      <c r="M52" s="51">
        <v>46199</v>
      </c>
      <c r="N52" s="52"/>
      <c r="O52" s="1"/>
    </row>
    <row r="53" ht="26" customHeight="1" spans="1:15">
      <c r="A53" s="1"/>
      <c r="B53" s="46" t="s">
        <v>76</v>
      </c>
      <c r="C53" s="47">
        <v>16</v>
      </c>
      <c r="D53" s="47">
        <v>16</v>
      </c>
      <c r="E53" s="48">
        <v>1</v>
      </c>
      <c r="F53" s="47">
        <v>16</v>
      </c>
      <c r="G53" s="47">
        <v>0</v>
      </c>
      <c r="H53" s="47">
        <v>0</v>
      </c>
      <c r="I53" s="49">
        <f t="shared" si="10"/>
        <v>1</v>
      </c>
      <c r="J53" s="49">
        <f>(F53-G53)/F53</f>
        <v>1</v>
      </c>
      <c r="K53" s="50" t="s">
        <v>31</v>
      </c>
      <c r="L53" s="47" t="s">
        <v>32</v>
      </c>
      <c r="M53" s="51">
        <v>46199</v>
      </c>
      <c r="N53" s="52"/>
      <c r="O53" s="1"/>
    </row>
    <row r="54" ht="26" customHeight="1" spans="1:15">
      <c r="A54" s="1"/>
      <c r="B54" s="46" t="s">
        <v>77</v>
      </c>
      <c r="C54" s="47">
        <v>19</v>
      </c>
      <c r="D54" s="47">
        <v>19</v>
      </c>
      <c r="E54" s="48">
        <f>D54/C54</f>
        <v>1</v>
      </c>
      <c r="F54" s="47">
        <v>19</v>
      </c>
      <c r="G54" s="47">
        <v>0</v>
      </c>
      <c r="H54" s="47">
        <v>0</v>
      </c>
      <c r="I54" s="49">
        <f t="shared" si="10"/>
        <v>1</v>
      </c>
      <c r="J54" s="49">
        <v>1</v>
      </c>
      <c r="K54" s="49"/>
      <c r="L54" s="47" t="s">
        <v>32</v>
      </c>
      <c r="M54" s="51">
        <v>46199</v>
      </c>
      <c r="N54" s="52"/>
      <c r="O54" s="1"/>
    </row>
    <row r="55" ht="26" customHeight="1" spans="1:15">
      <c r="A55" s="1"/>
      <c r="B55" s="46" t="s">
        <v>78</v>
      </c>
      <c r="C55" s="47">
        <v>14</v>
      </c>
      <c r="D55" s="47">
        <v>14</v>
      </c>
      <c r="E55" s="48">
        <v>1</v>
      </c>
      <c r="F55" s="47">
        <v>14</v>
      </c>
      <c r="G55" s="47">
        <v>0</v>
      </c>
      <c r="H55" s="47">
        <v>0</v>
      </c>
      <c r="I55" s="49">
        <v>1</v>
      </c>
      <c r="J55" s="49">
        <v>1</v>
      </c>
      <c r="K55" s="50" t="s">
        <v>31</v>
      </c>
      <c r="L55" s="47" t="s">
        <v>32</v>
      </c>
      <c r="M55" s="51">
        <v>46199</v>
      </c>
      <c r="N55" s="52"/>
      <c r="O55" s="1"/>
    </row>
    <row r="56" ht="26" customHeight="1" spans="1:15">
      <c r="A56" s="1"/>
      <c r="B56" s="46" t="s">
        <v>79</v>
      </c>
      <c r="C56" s="47">
        <v>12</v>
      </c>
      <c r="D56" s="47">
        <v>12</v>
      </c>
      <c r="E56" s="48">
        <v>1</v>
      </c>
      <c r="F56" s="47">
        <v>12</v>
      </c>
      <c r="G56" s="47">
        <v>0</v>
      </c>
      <c r="H56" s="47">
        <v>0</v>
      </c>
      <c r="I56" s="49">
        <v>1</v>
      </c>
      <c r="J56" s="49">
        <v>1</v>
      </c>
      <c r="K56" s="50" t="s">
        <v>31</v>
      </c>
      <c r="L56" s="47" t="s">
        <v>32</v>
      </c>
      <c r="M56" s="51">
        <v>46203</v>
      </c>
      <c r="N56" s="52"/>
      <c r="O56" s="1"/>
    </row>
    <row r="57" ht="26" customHeight="1" spans="1:15">
      <c r="A57" s="1"/>
      <c r="B57" s="46" t="s">
        <v>80</v>
      </c>
      <c r="C57" s="47">
        <v>51</v>
      </c>
      <c r="D57" s="47">
        <v>51</v>
      </c>
      <c r="E57" s="48">
        <v>1</v>
      </c>
      <c r="F57" s="47">
        <v>51</v>
      </c>
      <c r="G57" s="47">
        <v>0</v>
      </c>
      <c r="H57" s="47">
        <v>0</v>
      </c>
      <c r="I57" s="49">
        <v>1</v>
      </c>
      <c r="J57" s="49">
        <v>1</v>
      </c>
      <c r="K57" s="49"/>
      <c r="L57" s="47" t="s">
        <v>32</v>
      </c>
      <c r="M57" s="51">
        <v>46202</v>
      </c>
      <c r="N57" s="52"/>
      <c r="O57" s="1"/>
    </row>
    <row r="58" ht="26" customHeight="1" spans="1:15">
      <c r="A58" s="1"/>
      <c r="B58" s="46" t="s">
        <v>81</v>
      </c>
      <c r="C58" s="47">
        <v>15</v>
      </c>
      <c r="D58" s="47">
        <v>15</v>
      </c>
      <c r="E58" s="48">
        <v>1</v>
      </c>
      <c r="F58" s="47">
        <v>15</v>
      </c>
      <c r="G58" s="47">
        <v>0</v>
      </c>
      <c r="H58" s="47">
        <v>0</v>
      </c>
      <c r="I58" s="49">
        <f t="shared" ref="I58:I62" si="14">F58/C58</f>
        <v>1</v>
      </c>
      <c r="J58" s="49">
        <v>1</v>
      </c>
      <c r="K58" s="50" t="s">
        <v>31</v>
      </c>
      <c r="L58" s="47" t="s">
        <v>32</v>
      </c>
      <c r="M58" s="51">
        <v>46199</v>
      </c>
      <c r="N58" s="52"/>
      <c r="O58" s="1"/>
    </row>
    <row r="59" ht="26" customHeight="1" spans="1:15">
      <c r="A59" s="1"/>
      <c r="B59" s="46" t="s">
        <v>82</v>
      </c>
      <c r="C59" s="47">
        <v>26</v>
      </c>
      <c r="D59" s="47">
        <v>26</v>
      </c>
      <c r="E59" s="48">
        <v>1</v>
      </c>
      <c r="F59" s="47">
        <v>26</v>
      </c>
      <c r="G59" s="47">
        <v>0</v>
      </c>
      <c r="H59" s="47">
        <v>0</v>
      </c>
      <c r="I59" s="49">
        <f t="shared" si="14"/>
        <v>1</v>
      </c>
      <c r="J59" s="49">
        <f>F59/(C59-H59)</f>
        <v>1</v>
      </c>
      <c r="K59" s="49"/>
      <c r="L59" s="47" t="s">
        <v>32</v>
      </c>
      <c r="M59" s="51">
        <v>46203</v>
      </c>
      <c r="N59" s="52"/>
      <c r="O59" s="1"/>
    </row>
    <row r="60" ht="26" customHeight="1" spans="1:15">
      <c r="A60" s="1"/>
      <c r="B60" s="46" t="s">
        <v>83</v>
      </c>
      <c r="C60" s="47">
        <v>44</v>
      </c>
      <c r="D60" s="47">
        <v>44</v>
      </c>
      <c r="E60" s="48">
        <v>1</v>
      </c>
      <c r="F60" s="47">
        <v>44</v>
      </c>
      <c r="G60" s="47">
        <v>0</v>
      </c>
      <c r="H60" s="47">
        <v>0</v>
      </c>
      <c r="I60" s="49">
        <f t="shared" si="14"/>
        <v>1</v>
      </c>
      <c r="J60" s="49">
        <v>1</v>
      </c>
      <c r="K60" s="50" t="s">
        <v>31</v>
      </c>
      <c r="L60" s="47" t="s">
        <v>32</v>
      </c>
      <c r="M60" s="51">
        <v>46203</v>
      </c>
      <c r="N60" s="52"/>
      <c r="O60" s="1"/>
    </row>
    <row r="61" ht="26" customHeight="1" spans="1:15">
      <c r="A61" s="1"/>
      <c r="B61" s="46" t="s">
        <v>84</v>
      </c>
      <c r="C61" s="47">
        <v>24</v>
      </c>
      <c r="D61" s="47">
        <v>24</v>
      </c>
      <c r="E61" s="48">
        <v>1</v>
      </c>
      <c r="F61" s="47">
        <v>24</v>
      </c>
      <c r="G61" s="47">
        <v>0</v>
      </c>
      <c r="H61" s="47">
        <v>0</v>
      </c>
      <c r="I61" s="49">
        <f t="shared" si="14"/>
        <v>1</v>
      </c>
      <c r="J61" s="49">
        <v>1</v>
      </c>
      <c r="K61" s="50" t="s">
        <v>31</v>
      </c>
      <c r="L61" s="47" t="s">
        <v>32</v>
      </c>
      <c r="M61" s="51">
        <v>46203</v>
      </c>
      <c r="N61" s="52"/>
      <c r="O61" s="1"/>
    </row>
    <row r="62" ht="26" customHeight="1" spans="1:15">
      <c r="A62" s="1"/>
      <c r="B62" s="46" t="s">
        <v>85</v>
      </c>
      <c r="C62" s="47">
        <v>30</v>
      </c>
      <c r="D62" s="47">
        <v>30</v>
      </c>
      <c r="E62" s="48">
        <v>1</v>
      </c>
      <c r="F62" s="47">
        <v>30</v>
      </c>
      <c r="G62" s="47">
        <v>0</v>
      </c>
      <c r="H62" s="47">
        <v>0</v>
      </c>
      <c r="I62" s="49">
        <f t="shared" si="14"/>
        <v>1</v>
      </c>
      <c r="J62" s="49">
        <v>1</v>
      </c>
      <c r="K62" s="50" t="s">
        <v>31</v>
      </c>
      <c r="L62" s="47" t="s">
        <v>32</v>
      </c>
      <c r="M62" s="51">
        <v>46203</v>
      </c>
      <c r="N62" s="52"/>
      <c r="O62" s="1"/>
    </row>
    <row r="63" ht="26" customHeight="1" spans="1:15">
      <c r="A63" s="1"/>
      <c r="B63" s="46" t="s">
        <v>86</v>
      </c>
      <c r="C63" s="47">
        <v>15</v>
      </c>
      <c r="D63" s="47">
        <v>15</v>
      </c>
      <c r="E63" s="48">
        <v>1</v>
      </c>
      <c r="F63" s="47">
        <v>15</v>
      </c>
      <c r="G63" s="47">
        <v>0</v>
      </c>
      <c r="H63" s="47">
        <v>0</v>
      </c>
      <c r="I63" s="49">
        <v>1</v>
      </c>
      <c r="J63" s="49">
        <v>1</v>
      </c>
      <c r="K63" s="53" t="s">
        <v>35</v>
      </c>
      <c r="L63" s="47" t="s">
        <v>32</v>
      </c>
      <c r="M63" s="51">
        <v>46203</v>
      </c>
      <c r="N63" s="52"/>
      <c r="O63" s="1"/>
    </row>
    <row r="64" ht="26" customHeight="1" spans="1:15">
      <c r="A64" s="1"/>
      <c r="B64" s="46" t="s">
        <v>87</v>
      </c>
      <c r="C64" s="47">
        <v>35</v>
      </c>
      <c r="D64" s="47">
        <v>35</v>
      </c>
      <c r="E64" s="48">
        <v>1</v>
      </c>
      <c r="F64" s="47">
        <v>35</v>
      </c>
      <c r="G64" s="47">
        <v>0</v>
      </c>
      <c r="H64" s="47">
        <v>0</v>
      </c>
      <c r="I64" s="49">
        <f t="shared" ref="I64:I66" si="15">F64/C64</f>
        <v>1</v>
      </c>
      <c r="J64" s="49">
        <f>F64/(C64-H64)</f>
        <v>1</v>
      </c>
      <c r="K64" s="50" t="s">
        <v>31</v>
      </c>
      <c r="L64" s="47" t="s">
        <v>32</v>
      </c>
      <c r="M64" s="51">
        <v>46199</v>
      </c>
      <c r="N64" s="52"/>
      <c r="O64" s="1"/>
    </row>
    <row r="65" ht="26" customHeight="1" spans="1:15">
      <c r="A65" s="1"/>
      <c r="B65" s="46" t="s">
        <v>88</v>
      </c>
      <c r="C65" s="47">
        <v>13</v>
      </c>
      <c r="D65" s="47">
        <v>13</v>
      </c>
      <c r="E65" s="48">
        <v>1</v>
      </c>
      <c r="F65" s="47">
        <v>10</v>
      </c>
      <c r="G65" s="47">
        <v>0</v>
      </c>
      <c r="H65" s="47">
        <v>3</v>
      </c>
      <c r="I65" s="48">
        <f t="shared" si="15"/>
        <v>0.769230769230769</v>
      </c>
      <c r="J65" s="49">
        <v>1</v>
      </c>
      <c r="K65" s="50" t="s">
        <v>31</v>
      </c>
      <c r="L65" s="47" t="s">
        <v>32</v>
      </c>
      <c r="M65" s="51">
        <v>46199</v>
      </c>
      <c r="N65" s="52"/>
      <c r="O65" s="1"/>
    </row>
    <row r="66" ht="26" customHeight="1" spans="1:15">
      <c r="A66" s="1"/>
      <c r="B66" s="46" t="s">
        <v>89</v>
      </c>
      <c r="C66" s="47">
        <v>17</v>
      </c>
      <c r="D66" s="47">
        <v>17</v>
      </c>
      <c r="E66" s="48">
        <v>1</v>
      </c>
      <c r="F66" s="47">
        <v>15</v>
      </c>
      <c r="G66" s="47">
        <v>0</v>
      </c>
      <c r="H66" s="47">
        <v>2</v>
      </c>
      <c r="I66" s="48">
        <f t="shared" si="15"/>
        <v>0.882352941176471</v>
      </c>
      <c r="J66" s="49">
        <v>1</v>
      </c>
      <c r="K66" s="50" t="s">
        <v>31</v>
      </c>
      <c r="L66" s="47" t="s">
        <v>32</v>
      </c>
      <c r="M66" s="51">
        <v>46199</v>
      </c>
      <c r="N66" s="52"/>
      <c r="O66" s="1"/>
    </row>
    <row r="67" ht="26" customHeight="1" spans="1:15">
      <c r="A67" s="1"/>
      <c r="B67" s="46" t="s">
        <v>90</v>
      </c>
      <c r="C67" s="47">
        <v>16</v>
      </c>
      <c r="D67" s="47">
        <v>16</v>
      </c>
      <c r="E67" s="48">
        <v>1</v>
      </c>
      <c r="F67" s="47">
        <v>16</v>
      </c>
      <c r="G67" s="47">
        <v>0</v>
      </c>
      <c r="H67" s="47">
        <v>0</v>
      </c>
      <c r="I67" s="49">
        <v>1</v>
      </c>
      <c r="J67" s="49">
        <v>1</v>
      </c>
      <c r="K67" s="50" t="s">
        <v>31</v>
      </c>
      <c r="L67" s="47" t="s">
        <v>32</v>
      </c>
      <c r="M67" s="51">
        <v>46199</v>
      </c>
      <c r="N67" s="52"/>
      <c r="O67" s="1"/>
    </row>
    <row r="68" ht="26" customHeight="1" spans="1:15">
      <c r="A68" s="1"/>
      <c r="B68" s="46" t="s">
        <v>91</v>
      </c>
      <c r="C68" s="47">
        <v>12</v>
      </c>
      <c r="D68" s="47">
        <v>12</v>
      </c>
      <c r="E68" s="48">
        <v>1</v>
      </c>
      <c r="F68" s="47">
        <v>12</v>
      </c>
      <c r="G68" s="47">
        <v>0</v>
      </c>
      <c r="H68" s="47">
        <v>0</v>
      </c>
      <c r="I68" s="49">
        <v>1</v>
      </c>
      <c r="J68" s="49">
        <v>1</v>
      </c>
      <c r="K68" s="50" t="s">
        <v>31</v>
      </c>
      <c r="L68" s="47" t="s">
        <v>32</v>
      </c>
      <c r="M68" s="51">
        <v>46204</v>
      </c>
      <c r="N68" s="52" t="s">
        <v>33</v>
      </c>
      <c r="O68" s="1"/>
    </row>
    <row r="69" ht="26" customHeight="1" spans="1:15">
      <c r="A69" s="1"/>
      <c r="B69" s="46" t="s">
        <v>92</v>
      </c>
      <c r="C69" s="47">
        <v>6</v>
      </c>
      <c r="D69" s="47">
        <v>6</v>
      </c>
      <c r="E69" s="48">
        <v>1</v>
      </c>
      <c r="F69" s="47">
        <v>6</v>
      </c>
      <c r="G69" s="47">
        <v>0</v>
      </c>
      <c r="H69" s="47">
        <v>0</v>
      </c>
      <c r="I69" s="49">
        <v>1</v>
      </c>
      <c r="J69" s="49">
        <v>1</v>
      </c>
      <c r="K69" s="50" t="s">
        <v>31</v>
      </c>
      <c r="L69" s="47" t="s">
        <v>32</v>
      </c>
      <c r="M69" s="51">
        <v>46203</v>
      </c>
      <c r="N69" s="52" t="s">
        <v>33</v>
      </c>
      <c r="O69" s="1"/>
    </row>
    <row r="70" ht="28" customHeight="1" spans="1:15">
      <c r="A70" s="1"/>
      <c r="B70" s="55" t="s">
        <v>93</v>
      </c>
      <c r="C70" s="56">
        <f>SUM(C11:C69)</f>
        <v>1299</v>
      </c>
      <c r="D70" s="56">
        <f>SUM(D11:D69)</f>
        <v>1262</v>
      </c>
      <c r="E70" s="57" t="s">
        <v>94</v>
      </c>
      <c r="F70" s="56">
        <f>SUM(F11:F69)</f>
        <v>952</v>
      </c>
      <c r="G70" s="56">
        <f>SUM(G11:G69)</f>
        <v>56</v>
      </c>
      <c r="H70" s="56">
        <f>SUM(H11:H69)</f>
        <v>85</v>
      </c>
      <c r="I70" s="58">
        <f>F70/C70</f>
        <v>0.732871439568899</v>
      </c>
      <c r="J70" s="59">
        <f>(F70-G70)/F70</f>
        <v>0.941176470588235</v>
      </c>
      <c r="K70" s="59" t="s">
        <v>94</v>
      </c>
      <c r="L70" s="60" t="s">
        <v>94</v>
      </c>
      <c r="M70" s="61" t="s">
        <v>94</v>
      </c>
      <c r="N70" s="62"/>
      <c r="O70" s="1"/>
    </row>
    <row r="71" ht="26" customHeight="1" spans="1:15">
      <c r="A71" s="1"/>
      <c r="B71" s="63" t="s">
        <v>95</v>
      </c>
      <c r="C71" s="64" t="s">
        <v>96</v>
      </c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6"/>
      <c r="O71" s="1"/>
    </row>
    <row r="72" ht="26" customHeight="1" spans="1:15">
      <c r="A72" s="1"/>
      <c r="B72" s="67"/>
      <c r="C72" s="68" t="s">
        <v>97</v>
      </c>
      <c r="D72" s="69" t="s">
        <v>98</v>
      </c>
      <c r="E72" s="69" t="s">
        <v>99</v>
      </c>
      <c r="F72" s="69" t="s">
        <v>100</v>
      </c>
      <c r="G72" s="69" t="s">
        <v>101</v>
      </c>
      <c r="H72" s="69" t="s">
        <v>102</v>
      </c>
      <c r="I72" s="69" t="s">
        <v>103</v>
      </c>
      <c r="J72" s="70" t="s">
        <v>104</v>
      </c>
      <c r="K72" s="71" t="s">
        <v>105</v>
      </c>
      <c r="L72" s="71"/>
      <c r="M72" s="71"/>
      <c r="N72" s="71"/>
      <c r="O72" s="1"/>
    </row>
    <row r="73" ht="26" customHeight="1" spans="1:15">
      <c r="A73" s="1"/>
      <c r="B73" s="72" t="s">
        <v>106</v>
      </c>
      <c r="C73" s="73">
        <v>1</v>
      </c>
      <c r="D73" s="73">
        <v>0</v>
      </c>
      <c r="E73" s="73">
        <v>0</v>
      </c>
      <c r="F73" s="73">
        <v>0</v>
      </c>
      <c r="G73" s="73">
        <v>0</v>
      </c>
      <c r="H73" s="73">
        <v>1</v>
      </c>
      <c r="I73" s="73">
        <v>2</v>
      </c>
      <c r="J73" s="74">
        <f t="shared" ref="J73:J76" si="16">SUM(C73:I73)</f>
        <v>4</v>
      </c>
      <c r="K73" s="75">
        <v>0.75</v>
      </c>
      <c r="L73" s="75"/>
      <c r="M73" s="75"/>
      <c r="N73" s="75"/>
      <c r="O73" s="1"/>
    </row>
    <row r="74" ht="26" customHeight="1" spans="1:15">
      <c r="A74" s="1"/>
      <c r="B74" s="76" t="s">
        <v>107</v>
      </c>
      <c r="C74" s="73">
        <v>1</v>
      </c>
      <c r="D74" s="73">
        <v>4</v>
      </c>
      <c r="E74" s="73">
        <v>0</v>
      </c>
      <c r="F74" s="73">
        <v>0</v>
      </c>
      <c r="G74" s="73">
        <v>3</v>
      </c>
      <c r="H74" s="73">
        <v>2</v>
      </c>
      <c r="I74" s="73">
        <v>3</v>
      </c>
      <c r="J74" s="74">
        <f t="shared" si="16"/>
        <v>13</v>
      </c>
      <c r="K74" s="75">
        <v>0.38</v>
      </c>
      <c r="L74" s="75"/>
      <c r="M74" s="75"/>
      <c r="N74" s="75"/>
      <c r="O74" s="1"/>
    </row>
    <row r="75" ht="26" customHeight="1" spans="1:15">
      <c r="A75" s="1"/>
      <c r="B75" s="76" t="s">
        <v>108</v>
      </c>
      <c r="C75" s="73">
        <v>20</v>
      </c>
      <c r="D75" s="73">
        <v>10</v>
      </c>
      <c r="E75" s="73">
        <v>3</v>
      </c>
      <c r="F75" s="73">
        <v>0</v>
      </c>
      <c r="G75" s="73">
        <v>1</v>
      </c>
      <c r="H75" s="73">
        <v>55</v>
      </c>
      <c r="I75" s="73">
        <v>6</v>
      </c>
      <c r="J75" s="74">
        <f t="shared" si="16"/>
        <v>95</v>
      </c>
      <c r="K75" s="75">
        <f>(H75+I75)/J75</f>
        <v>0.642105263157895</v>
      </c>
      <c r="L75" s="75"/>
      <c r="M75" s="75"/>
      <c r="N75" s="75"/>
      <c r="O75" s="1"/>
    </row>
    <row r="76" ht="28" customHeight="1" spans="1:15">
      <c r="A76" s="1"/>
      <c r="B76" s="76" t="s">
        <v>109</v>
      </c>
      <c r="C76" s="73">
        <v>12</v>
      </c>
      <c r="D76" s="73">
        <v>6</v>
      </c>
      <c r="E76" s="73">
        <v>1</v>
      </c>
      <c r="F76" s="73">
        <v>0</v>
      </c>
      <c r="G76" s="73">
        <v>1</v>
      </c>
      <c r="H76" s="73">
        <v>11</v>
      </c>
      <c r="I76" s="73">
        <v>1</v>
      </c>
      <c r="J76" s="74">
        <f t="shared" si="16"/>
        <v>32</v>
      </c>
      <c r="K76" s="75">
        <v>0.38</v>
      </c>
      <c r="L76" s="75"/>
      <c r="M76" s="75"/>
      <c r="N76" s="75"/>
      <c r="O76" s="1"/>
    </row>
    <row r="77" ht="28" customHeight="1" spans="1:15">
      <c r="A77" s="1"/>
      <c r="B77" s="77" t="s">
        <v>104</v>
      </c>
      <c r="C77" s="78">
        <f>SUM(C73:C76)</f>
        <v>34</v>
      </c>
      <c r="D77" s="78">
        <v>20</v>
      </c>
      <c r="E77" s="78">
        <f t="shared" ref="E77:J77" si="17">SUM(E73:E76)</f>
        <v>4</v>
      </c>
      <c r="F77" s="78">
        <f t="shared" si="17"/>
        <v>0</v>
      </c>
      <c r="G77" s="78">
        <f t="shared" si="17"/>
        <v>5</v>
      </c>
      <c r="H77" s="78">
        <f t="shared" si="17"/>
        <v>69</v>
      </c>
      <c r="I77" s="78">
        <f t="shared" si="17"/>
        <v>12</v>
      </c>
      <c r="J77" s="79">
        <f t="shared" si="17"/>
        <v>144</v>
      </c>
      <c r="K77" s="80">
        <f>(H77+I77)/J77</f>
        <v>0.5625</v>
      </c>
      <c r="L77" s="80"/>
      <c r="M77" s="80"/>
      <c r="N77" s="80"/>
      <c r="O77" s="1"/>
    </row>
    <row r="78" ht="26" customHeight="1" spans="1:15">
      <c r="A78" s="1"/>
      <c r="B78" s="81" t="s">
        <v>110</v>
      </c>
      <c r="C78" s="82" t="s">
        <v>111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4"/>
      <c r="O78" s="1"/>
    </row>
    <row r="79" ht="26" customHeight="1" spans="1:15">
      <c r="A79" s="1"/>
      <c r="B79" s="81"/>
      <c r="C79" s="85" t="s">
        <v>112</v>
      </c>
      <c r="D79" s="86" t="s">
        <v>113</v>
      </c>
      <c r="E79" s="86" t="s">
        <v>114</v>
      </c>
      <c r="F79" s="86"/>
      <c r="G79" s="86"/>
      <c r="H79" s="86"/>
      <c r="I79" s="86" t="s">
        <v>115</v>
      </c>
      <c r="J79" s="86"/>
      <c r="K79" s="86"/>
      <c r="L79" s="86"/>
      <c r="M79" s="86"/>
      <c r="N79" s="87" t="s">
        <v>116</v>
      </c>
      <c r="O79" s="1"/>
    </row>
    <row r="80" ht="26" customHeight="1" spans="1:15">
      <c r="A80" s="1"/>
      <c r="B80" s="88">
        <v>1</v>
      </c>
      <c r="C80" s="89" t="s">
        <v>108</v>
      </c>
      <c r="D80" s="90" t="s">
        <v>97</v>
      </c>
      <c r="E80" s="91" t="s">
        <v>117</v>
      </c>
      <c r="F80" s="91"/>
      <c r="G80" s="91"/>
      <c r="H80" s="91"/>
      <c r="I80" s="92" t="s">
        <v>118</v>
      </c>
      <c r="J80" s="92"/>
      <c r="K80" s="92"/>
      <c r="L80" s="92"/>
      <c r="M80" s="92"/>
      <c r="N80" s="93">
        <v>1</v>
      </c>
      <c r="O80" s="1"/>
    </row>
    <row r="81" ht="26" customHeight="1" spans="1:15">
      <c r="A81" s="1"/>
      <c r="B81" s="94">
        <v>2</v>
      </c>
      <c r="C81" s="89" t="s">
        <v>108</v>
      </c>
      <c r="D81" s="95" t="s">
        <v>98</v>
      </c>
      <c r="E81" s="96" t="s">
        <v>119</v>
      </c>
      <c r="F81" s="96"/>
      <c r="G81" s="96"/>
      <c r="H81" s="96"/>
      <c r="I81" s="97" t="s">
        <v>120</v>
      </c>
      <c r="J81" s="97"/>
      <c r="K81" s="97"/>
      <c r="L81" s="97"/>
      <c r="M81" s="97"/>
      <c r="N81" s="98">
        <v>2</v>
      </c>
      <c r="O81" s="1"/>
    </row>
    <row r="82" ht="26" customHeight="1" spans="1:15">
      <c r="A82" s="1"/>
      <c r="B82" s="94">
        <v>3</v>
      </c>
      <c r="C82" s="89" t="s">
        <v>108</v>
      </c>
      <c r="D82" s="95" t="s">
        <v>98</v>
      </c>
      <c r="E82" s="96" t="s">
        <v>119</v>
      </c>
      <c r="F82" s="96"/>
      <c r="G82" s="96"/>
      <c r="H82" s="96"/>
      <c r="I82" s="97" t="s">
        <v>120</v>
      </c>
      <c r="J82" s="97"/>
      <c r="K82" s="97"/>
      <c r="L82" s="97"/>
      <c r="M82" s="97"/>
      <c r="N82" s="98">
        <v>2</v>
      </c>
      <c r="O82" s="1"/>
    </row>
    <row r="83" ht="26" customHeight="1" spans="1:15">
      <c r="A83" s="1"/>
      <c r="B83" s="94">
        <v>4</v>
      </c>
      <c r="C83" s="89" t="s">
        <v>108</v>
      </c>
      <c r="D83" s="95" t="s">
        <v>99</v>
      </c>
      <c r="E83" s="96" t="s">
        <v>121</v>
      </c>
      <c r="F83" s="96"/>
      <c r="G83" s="96"/>
      <c r="H83" s="96"/>
      <c r="I83" s="97" t="s">
        <v>122</v>
      </c>
      <c r="J83" s="97"/>
      <c r="K83" s="97"/>
      <c r="L83" s="97"/>
      <c r="M83" s="97"/>
      <c r="N83" s="98">
        <v>2</v>
      </c>
      <c r="O83" s="1"/>
    </row>
    <row r="84" ht="26" customHeight="1" spans="1:15">
      <c r="A84" s="1"/>
      <c r="B84" s="99">
        <v>5</v>
      </c>
      <c r="C84" s="100" t="s">
        <v>108</v>
      </c>
      <c r="D84" s="95" t="s">
        <v>99</v>
      </c>
      <c r="E84" s="96" t="s">
        <v>123</v>
      </c>
      <c r="F84" s="96"/>
      <c r="G84" s="96"/>
      <c r="H84" s="96"/>
      <c r="I84" s="97" t="s">
        <v>124</v>
      </c>
      <c r="J84" s="97"/>
      <c r="K84" s="97"/>
      <c r="L84" s="97"/>
      <c r="M84" s="97"/>
      <c r="N84" s="98">
        <v>1</v>
      </c>
      <c r="O84" s="1"/>
    </row>
    <row r="85" ht="26" customHeight="1" spans="1:15">
      <c r="A85" s="1"/>
      <c r="B85" s="101" t="s">
        <v>125</v>
      </c>
      <c r="C85" s="83" t="s">
        <v>111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4"/>
      <c r="O85" s="1"/>
    </row>
    <row r="86" ht="28" customHeight="1" spans="1:15">
      <c r="A86" s="1"/>
      <c r="B86" s="101"/>
      <c r="C86" s="86" t="s">
        <v>112</v>
      </c>
      <c r="D86" s="86" t="s">
        <v>113</v>
      </c>
      <c r="E86" s="86" t="s">
        <v>114</v>
      </c>
      <c r="F86" s="86"/>
      <c r="G86" s="86"/>
      <c r="H86" s="86"/>
      <c r="I86" s="86" t="s">
        <v>115</v>
      </c>
      <c r="J86" s="86"/>
      <c r="K86" s="86"/>
      <c r="L86" s="86"/>
      <c r="M86" s="86"/>
      <c r="N86" s="87"/>
      <c r="O86" s="1"/>
    </row>
    <row r="87" ht="29" customHeight="1" spans="1:15">
      <c r="A87" s="1"/>
      <c r="B87" s="102">
        <v>1</v>
      </c>
      <c r="C87" s="103" t="s">
        <v>106</v>
      </c>
      <c r="D87" s="104" t="s">
        <v>97</v>
      </c>
      <c r="E87" s="105" t="s">
        <v>126</v>
      </c>
      <c r="F87" s="106"/>
      <c r="G87" s="106"/>
      <c r="H87" s="106"/>
      <c r="I87" s="107" t="s">
        <v>127</v>
      </c>
      <c r="J87" s="108"/>
      <c r="K87" s="108"/>
      <c r="L87" s="108"/>
      <c r="M87" s="108"/>
      <c r="N87" s="109"/>
      <c r="O87" s="1"/>
    </row>
    <row r="88" ht="26" customHeight="1" spans="1:15">
      <c r="A88" s="1"/>
      <c r="B88" s="102">
        <v>2</v>
      </c>
      <c r="C88" s="103" t="s">
        <v>106</v>
      </c>
      <c r="D88" s="104" t="s">
        <v>97</v>
      </c>
      <c r="E88" s="105" t="s">
        <v>128</v>
      </c>
      <c r="F88" s="105"/>
      <c r="G88" s="105"/>
      <c r="H88" s="105"/>
      <c r="I88" s="107" t="s">
        <v>129</v>
      </c>
      <c r="J88" s="107"/>
      <c r="K88" s="107"/>
      <c r="L88" s="107"/>
      <c r="M88" s="107"/>
      <c r="N88" s="110"/>
      <c r="O88" s="1"/>
    </row>
    <row r="89" ht="26" customHeight="1" spans="1:15">
      <c r="A89" s="1"/>
      <c r="B89" s="102">
        <v>3</v>
      </c>
      <c r="C89" s="111" t="s">
        <v>107</v>
      </c>
      <c r="D89" s="104" t="s">
        <v>101</v>
      </c>
      <c r="E89" s="112" t="s">
        <v>130</v>
      </c>
      <c r="F89" s="112"/>
      <c r="G89" s="112"/>
      <c r="H89" s="112"/>
      <c r="I89" s="107" t="s">
        <v>131</v>
      </c>
      <c r="J89" s="108"/>
      <c r="K89" s="108"/>
      <c r="L89" s="108"/>
      <c r="M89" s="108"/>
      <c r="N89" s="109"/>
      <c r="O89" s="1"/>
    </row>
    <row r="90" ht="26" customHeight="1" spans="1:15">
      <c r="A90" s="1"/>
      <c r="B90" s="102">
        <v>4</v>
      </c>
      <c r="C90" s="111" t="s">
        <v>107</v>
      </c>
      <c r="D90" s="104" t="s">
        <v>101</v>
      </c>
      <c r="E90" s="112" t="s">
        <v>132</v>
      </c>
      <c r="F90" s="112"/>
      <c r="G90" s="112"/>
      <c r="H90" s="112"/>
      <c r="I90" s="107" t="s">
        <v>133</v>
      </c>
      <c r="J90" s="108"/>
      <c r="K90" s="108"/>
      <c r="L90" s="108"/>
      <c r="M90" s="108"/>
      <c r="N90" s="109"/>
      <c r="O90" s="1"/>
    </row>
    <row r="91" ht="26" customHeight="1" spans="1:15">
      <c r="A91" s="1"/>
      <c r="B91" s="102">
        <v>5</v>
      </c>
      <c r="C91" s="111" t="s">
        <v>107</v>
      </c>
      <c r="D91" s="104" t="s">
        <v>98</v>
      </c>
      <c r="E91" s="112" t="s">
        <v>134</v>
      </c>
      <c r="F91" s="112"/>
      <c r="G91" s="112"/>
      <c r="H91" s="112"/>
      <c r="I91" s="107" t="s">
        <v>135</v>
      </c>
      <c r="J91" s="108"/>
      <c r="K91" s="108"/>
      <c r="L91" s="108"/>
      <c r="M91" s="108"/>
      <c r="N91" s="109"/>
      <c r="O91" s="1"/>
    </row>
    <row r="92" ht="26" customHeight="1" spans="1:15">
      <c r="A92" s="1"/>
      <c r="B92" s="102">
        <v>6</v>
      </c>
      <c r="C92" s="111" t="s">
        <v>107</v>
      </c>
      <c r="D92" s="104" t="s">
        <v>98</v>
      </c>
      <c r="E92" s="112" t="s">
        <v>136</v>
      </c>
      <c r="F92" s="112"/>
      <c r="G92" s="112"/>
      <c r="H92" s="112"/>
      <c r="I92" s="107" t="s">
        <v>137</v>
      </c>
      <c r="J92" s="107"/>
      <c r="K92" s="107"/>
      <c r="L92" s="107"/>
      <c r="M92" s="107"/>
      <c r="N92" s="110"/>
      <c r="O92" s="1"/>
    </row>
    <row r="93" ht="26" customHeight="1" spans="1:15">
      <c r="A93" s="1"/>
      <c r="B93" s="102">
        <v>7</v>
      </c>
      <c r="C93" s="111" t="s">
        <v>107</v>
      </c>
      <c r="D93" s="104" t="s">
        <v>101</v>
      </c>
      <c r="E93" s="112" t="s">
        <v>138</v>
      </c>
      <c r="F93" s="112"/>
      <c r="G93" s="112"/>
      <c r="H93" s="112"/>
      <c r="I93" s="107" t="s">
        <v>139</v>
      </c>
      <c r="J93" s="107"/>
      <c r="K93" s="107"/>
      <c r="L93" s="107"/>
      <c r="M93" s="107"/>
      <c r="N93" s="110"/>
      <c r="O93" s="1"/>
    </row>
    <row r="94" ht="26" customHeight="1" spans="1:15">
      <c r="A94" s="1"/>
      <c r="B94" s="102">
        <v>8</v>
      </c>
      <c r="C94" s="111" t="s">
        <v>107</v>
      </c>
      <c r="D94" s="104" t="s">
        <v>98</v>
      </c>
      <c r="E94" s="112" t="s">
        <v>140</v>
      </c>
      <c r="F94" s="112"/>
      <c r="G94" s="112"/>
      <c r="H94" s="112"/>
      <c r="I94" s="107" t="s">
        <v>141</v>
      </c>
      <c r="J94" s="107"/>
      <c r="K94" s="107"/>
      <c r="L94" s="107"/>
      <c r="M94" s="107"/>
      <c r="N94" s="110"/>
      <c r="O94" s="1"/>
    </row>
    <row r="95" ht="26" customHeight="1" spans="1:15">
      <c r="A95" s="1"/>
      <c r="B95" s="102">
        <v>9</v>
      </c>
      <c r="C95" s="111" t="s">
        <v>107</v>
      </c>
      <c r="D95" s="104" t="s">
        <v>98</v>
      </c>
      <c r="E95" s="112" t="s">
        <v>142</v>
      </c>
      <c r="F95" s="112"/>
      <c r="G95" s="112"/>
      <c r="H95" s="112"/>
      <c r="I95" s="107" t="s">
        <v>143</v>
      </c>
      <c r="J95" s="107"/>
      <c r="K95" s="107"/>
      <c r="L95" s="107"/>
      <c r="M95" s="107"/>
      <c r="N95" s="110"/>
      <c r="O95" s="1"/>
    </row>
    <row r="96" ht="26" customHeight="1" spans="1:15">
      <c r="A96" s="1"/>
      <c r="B96" s="113">
        <v>10</v>
      </c>
      <c r="C96" s="114" t="s">
        <v>107</v>
      </c>
      <c r="D96" s="115" t="s">
        <v>97</v>
      </c>
      <c r="E96" s="116" t="s">
        <v>144</v>
      </c>
      <c r="F96" s="116"/>
      <c r="G96" s="116"/>
      <c r="H96" s="116"/>
      <c r="I96" s="117" t="s">
        <v>145</v>
      </c>
      <c r="J96" s="118"/>
      <c r="K96" s="118"/>
      <c r="L96" s="118"/>
      <c r="M96" s="118"/>
      <c r="N96" s="119"/>
      <c r="O96" s="1"/>
    </row>
    <row r="97" ht="22" customHeight="1" spans="1:14">
      <c r="B97" s="1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</row>
    <row r="98" ht="22" customHeight="1" spans="1:14"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</row>
    <row r="99" ht="22" customHeight="1" spans="1:14"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</row>
    <row r="100" ht="22" customHeight="1" spans="1:14"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</row>
    <row r="101" ht="22" customHeight="1" spans="1:14">
      <c r="A101" s="121"/>
      <c r="B101" s="121"/>
      <c r="C101" s="121"/>
      <c r="D101" s="106"/>
      <c r="E101" s="121"/>
      <c r="F101" s="120"/>
      <c r="G101" s="120"/>
      <c r="H101" s="120"/>
      <c r="I101" s="120"/>
      <c r="J101" s="120"/>
      <c r="K101" s="120"/>
      <c r="L101" s="120"/>
      <c r="M101" s="120"/>
      <c r="N101" s="120"/>
    </row>
    <row r="102" ht="22" customHeight="1" spans="1:14">
      <c r="A102" s="121"/>
      <c r="B102" s="121"/>
      <c r="C102" s="121"/>
      <c r="D102" s="106"/>
      <c r="E102" s="121"/>
      <c r="F102" s="120"/>
      <c r="G102" s="120"/>
      <c r="H102" s="120"/>
      <c r="I102" s="120"/>
      <c r="J102" s="120"/>
      <c r="K102" s="120"/>
      <c r="L102" s="120"/>
      <c r="M102" s="120"/>
      <c r="N102" s="120"/>
    </row>
    <row r="103" ht="22" customHeight="1" spans="1:14">
      <c r="A103" s="121"/>
      <c r="B103" s="121"/>
      <c r="C103" s="121"/>
      <c r="D103" s="106"/>
      <c r="E103" s="121"/>
      <c r="F103" s="120"/>
      <c r="G103" s="120"/>
      <c r="H103" s="120"/>
      <c r="I103" s="120"/>
      <c r="J103" s="120"/>
      <c r="K103" s="120"/>
      <c r="L103" s="120"/>
      <c r="M103" s="120"/>
      <c r="N103" s="120"/>
    </row>
    <row r="104" ht="22" customHeight="1" spans="1:14">
      <c r="A104" s="121"/>
      <c r="B104" s="121"/>
      <c r="C104" s="121"/>
      <c r="D104" s="106"/>
      <c r="E104" s="121"/>
      <c r="F104" s="120"/>
      <c r="G104" s="120"/>
      <c r="H104" s="120"/>
      <c r="I104" s="120"/>
      <c r="J104" s="120"/>
      <c r="K104" s="120"/>
      <c r="L104" s="120"/>
      <c r="M104" s="120"/>
      <c r="N104" s="120"/>
    </row>
    <row r="105" ht="22" customHeight="1" spans="1:14">
      <c r="A105" s="121"/>
      <c r="B105" s="121"/>
      <c r="C105" s="121"/>
      <c r="D105" s="106"/>
      <c r="E105" s="121"/>
      <c r="F105" s="120"/>
      <c r="G105" s="120"/>
      <c r="H105" s="120"/>
      <c r="I105" s="120"/>
      <c r="J105" s="120"/>
      <c r="K105" s="120"/>
      <c r="L105" s="120"/>
      <c r="M105" s="120"/>
      <c r="N105" s="120"/>
    </row>
    <row r="106" ht="22" customHeight="1" spans="1:14">
      <c r="A106" s="121"/>
      <c r="B106" s="121"/>
      <c r="C106" s="121"/>
      <c r="D106" s="106"/>
      <c r="E106" s="121"/>
      <c r="F106" s="120"/>
      <c r="G106" s="120"/>
      <c r="H106" s="120"/>
      <c r="I106" s="120"/>
      <c r="J106" s="120"/>
      <c r="K106" s="120"/>
      <c r="L106" s="120"/>
      <c r="M106" s="120"/>
      <c r="N106" s="120"/>
    </row>
    <row r="107" ht="22" customHeight="1" spans="1:14">
      <c r="A107" s="121"/>
      <c r="B107" s="121"/>
      <c r="C107" s="121"/>
      <c r="D107" s="106"/>
      <c r="E107" s="121"/>
      <c r="F107" s="120"/>
      <c r="G107" s="120"/>
      <c r="H107" s="120"/>
      <c r="I107" s="120"/>
      <c r="J107" s="120"/>
      <c r="K107" s="120"/>
      <c r="L107" s="120"/>
      <c r="M107" s="120"/>
      <c r="N107" s="120"/>
    </row>
    <row r="108" ht="22" customHeight="1" spans="1:14">
      <c r="A108" s="121"/>
      <c r="B108" s="121"/>
      <c r="C108" s="121"/>
      <c r="D108" s="106"/>
      <c r="E108" s="121"/>
      <c r="F108" s="120"/>
      <c r="G108" s="120"/>
      <c r="H108" s="120"/>
      <c r="I108" s="120"/>
      <c r="J108" s="120"/>
      <c r="K108" s="120"/>
      <c r="L108" s="120"/>
      <c r="M108" s="120"/>
      <c r="N108" s="120"/>
    </row>
    <row r="109" ht="22" customHeight="1" spans="1:14">
      <c r="A109" s="121"/>
      <c r="B109" s="121"/>
      <c r="C109" s="121"/>
      <c r="D109" s="106"/>
      <c r="E109" s="121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ht="22" customHeight="1" spans="1:14">
      <c r="A110" s="121"/>
      <c r="B110" s="121"/>
      <c r="C110" s="121"/>
      <c r="D110" s="106"/>
      <c r="E110" s="121"/>
      <c r="F110" s="120"/>
      <c r="G110" s="120"/>
      <c r="H110" s="120"/>
      <c r="I110" s="120"/>
      <c r="J110" s="120"/>
      <c r="K110" s="120"/>
      <c r="L110" s="120"/>
      <c r="M110" s="120"/>
      <c r="N110" s="120"/>
    </row>
    <row r="111" ht="22" customHeight="1" spans="1:14">
      <c r="A111" s="121"/>
      <c r="B111" s="121"/>
      <c r="C111" s="121"/>
      <c r="D111" s="106"/>
      <c r="E111" s="121"/>
      <c r="F111" s="120"/>
      <c r="G111" s="120"/>
      <c r="H111" s="120"/>
      <c r="I111" s="120"/>
      <c r="J111" s="120"/>
      <c r="K111" s="120"/>
      <c r="L111" s="120"/>
      <c r="M111" s="120"/>
      <c r="N111" s="120"/>
    </row>
    <row r="112" ht="22" customHeight="1" spans="1:14">
      <c r="A112" s="121"/>
      <c r="B112" s="121"/>
      <c r="C112" s="121"/>
      <c r="D112" s="106"/>
      <c r="E112" s="121"/>
      <c r="F112" s="120"/>
      <c r="G112" s="120"/>
      <c r="H112" s="120"/>
      <c r="I112" s="120"/>
      <c r="J112" s="120"/>
      <c r="K112" s="120"/>
      <c r="L112" s="120"/>
      <c r="M112" s="120"/>
      <c r="N112" s="120"/>
    </row>
    <row r="113" ht="22" customHeight="1" spans="1:14">
      <c r="A113" s="121"/>
      <c r="B113" s="121"/>
      <c r="C113" s="121"/>
      <c r="D113" s="106"/>
      <c r="E113" s="121"/>
      <c r="F113" s="120"/>
      <c r="G113" s="120"/>
      <c r="H113" s="120"/>
      <c r="I113" s="120"/>
      <c r="J113" s="120"/>
      <c r="K113" s="120"/>
      <c r="L113" s="120"/>
      <c r="M113" s="120"/>
      <c r="N113" s="120"/>
    </row>
    <row r="114" ht="22" customHeight="1" spans="1:14"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</row>
    <row r="115" ht="22" customHeight="1" spans="1:14"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</row>
    <row r="116" ht="22" customHeight="1" spans="1:14"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</row>
    <row r="117" ht="22" customHeight="1" spans="1:14"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</row>
    <row r="118" ht="22" customHeight="1" spans="1:14"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</row>
    <row r="119" ht="22" customHeight="1" spans="1:14"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</row>
    <row r="120" ht="22" customHeight="1" spans="1:14"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</row>
    <row r="121" ht="22" customHeight="1" spans="1:14"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</row>
    <row r="122" ht="22" customHeight="1" spans="1:14"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</row>
    <row r="123" ht="22" customHeight="1" spans="1:14"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</row>
    <row r="124" ht="22" customHeight="1" spans="1:14"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</row>
    <row r="125" ht="22" customHeight="1" spans="1:14"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</row>
    <row r="126" ht="22" customHeight="1" spans="1:14"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</row>
    <row r="127" ht="22" customHeight="1" spans="1:14"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</row>
    <row r="128" ht="22" customHeight="1" spans="1:14"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</row>
    <row r="129" ht="22" customHeight="1" spans="3:14"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</row>
    <row r="130" ht="22" customHeight="1" spans="3:14"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</row>
    <row r="131" ht="22" customHeight="1" spans="3:14"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</row>
    <row r="132" ht="22" customHeight="1" spans="3:14"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</row>
    <row r="133" ht="22" customHeight="1" spans="3:14"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</row>
    <row r="134" ht="22" customHeight="1" spans="3:14"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</row>
    <row r="135" ht="22" customHeight="1" spans="3:14"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</row>
    <row r="136" ht="22" customHeight="1" spans="3:14"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</row>
    <row r="137" ht="22" customHeight="1" spans="3:14"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</row>
    <row r="138" ht="22" customHeight="1" spans="3:14"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</row>
    <row r="139" ht="22" customHeight="1" spans="3:14"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</row>
    <row r="140" ht="22" customHeight="1" spans="3:14"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</row>
    <row r="141" ht="22" customHeight="1" spans="3:14"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</row>
    <row r="142" ht="22" customHeight="1" spans="3:14"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</row>
    <row r="143" ht="22" customHeight="1" spans="3:14"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</row>
    <row r="144" ht="22" customHeight="1" spans="3:14"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</row>
    <row r="145" ht="22" customHeight="1" spans="3:14"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</row>
    <row r="146" ht="22" customHeight="1" spans="3:14"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</row>
    <row r="147" ht="22" customHeight="1" spans="3:14"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</row>
    <row r="148" ht="22" customHeight="1" spans="3:14"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</row>
    <row r="149" ht="22" customHeight="1" spans="3:14"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</row>
    <row r="150" ht="22" customHeight="1" spans="3:14"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</row>
    <row r="151" ht="22" customHeight="1" spans="3:14"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</row>
    <row r="152" ht="22" customHeight="1" spans="3:14"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</row>
    <row r="153" ht="22" customHeight="1" spans="3:14"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</row>
    <row r="154" ht="22" customHeight="1" spans="3:14"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</row>
    <row r="155" ht="22" customHeight="1" spans="3:14"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</row>
    <row r="156" ht="22" customHeight="1" spans="3:14"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</row>
    <row r="157" ht="22" customHeight="1" spans="3:14"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</row>
    <row r="158" ht="22" customHeight="1" spans="3:14"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</row>
    <row r="159" ht="22" customHeight="1" spans="3:14"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</row>
    <row r="160" ht="22" customHeight="1" spans="3:14"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</row>
    <row r="161" ht="22" customHeight="1" spans="3:14"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</row>
    <row r="162" ht="22" customHeight="1" spans="3:14"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</row>
    <row r="163" ht="22" customHeight="1" spans="3:14"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</row>
    <row r="164" ht="22" customHeight="1" spans="3:14"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</row>
    <row r="165" ht="22" customHeight="1" spans="3:14"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</row>
    <row r="166" ht="22" customHeight="1" spans="3:14"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</row>
    <row r="167" ht="22" customHeight="1" spans="3:14"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</row>
    <row r="168" ht="22" customHeight="1" spans="3:14"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</row>
    <row r="169" ht="22" customHeight="1" spans="3:14"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</row>
    <row r="170" ht="22" customHeight="1" spans="3:14"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</row>
  </sheetData>
  <mergeCells count="61">
    <mergeCell ref="B2:N2"/>
    <mergeCell ref="C3:N3"/>
    <mergeCell ref="C4:N4"/>
    <mergeCell ref="C5:N5"/>
    <mergeCell ref="C6:J6"/>
    <mergeCell ref="K6:N6"/>
    <mergeCell ref="C7:J7"/>
    <mergeCell ref="K7:N7"/>
    <mergeCell ref="C8:J8"/>
    <mergeCell ref="K8:N8"/>
    <mergeCell ref="C9:E9"/>
    <mergeCell ref="F9:J9"/>
    <mergeCell ref="L9:N9"/>
    <mergeCell ref="C71:N71"/>
    <mergeCell ref="K72:N72"/>
    <mergeCell ref="K73:N73"/>
    <mergeCell ref="K74:N74"/>
    <mergeCell ref="K75:N75"/>
    <mergeCell ref="K76:N76"/>
    <mergeCell ref="K77:N77"/>
    <mergeCell ref="C78:N78"/>
    <mergeCell ref="E79:H79"/>
    <mergeCell ref="I79:M79"/>
    <mergeCell ref="E80:H80"/>
    <mergeCell ref="I80:M80"/>
    <mergeCell ref="E81:H81"/>
    <mergeCell ref="I81:M81"/>
    <mergeCell ref="E82:H82"/>
    <mergeCell ref="I82:M82"/>
    <mergeCell ref="E83:H83"/>
    <mergeCell ref="I83:M83"/>
    <mergeCell ref="E84:H84"/>
    <mergeCell ref="I84:M84"/>
    <mergeCell ref="C85:N85"/>
    <mergeCell ref="E86:H86"/>
    <mergeCell ref="I86:N86"/>
    <mergeCell ref="E87:H87"/>
    <mergeCell ref="I87:N87"/>
    <mergeCell ref="E88:H88"/>
    <mergeCell ref="I88:N88"/>
    <mergeCell ref="E89:H89"/>
    <mergeCell ref="I89:N89"/>
    <mergeCell ref="E90:H90"/>
    <mergeCell ref="I90:N90"/>
    <mergeCell ref="E91:H91"/>
    <mergeCell ref="I91:N91"/>
    <mergeCell ref="E92:H92"/>
    <mergeCell ref="I92:N92"/>
    <mergeCell ref="E93:H93"/>
    <mergeCell ref="I93:N93"/>
    <mergeCell ref="E94:H94"/>
    <mergeCell ref="I94:N94"/>
    <mergeCell ref="E95:H95"/>
    <mergeCell ref="I95:N95"/>
    <mergeCell ref="E96:H96"/>
    <mergeCell ref="I96:N96"/>
    <mergeCell ref="B6:B8"/>
    <mergeCell ref="B9:B10"/>
    <mergeCell ref="B71:B72"/>
    <mergeCell ref="B78:B79"/>
    <mergeCell ref="B85:B86"/>
  </mergeCells>
  <hyperlinks>
    <hyperlink ref="E88" r:id="rId1" display="https://project.feishu.cn/obis/bug/detail/7040493770"/>
    <hyperlink ref="E90" r:id="rId2" display="https://project.feishu.cn/obis/bug/detail/7035201092"/>
    <hyperlink ref="E92" r:id="rId3" display="https://project.feishu.cn/obis/bug/detail/7035543886"/>
    <hyperlink ref="E95" r:id="rId4" display="https://project.feishu.cn/obis/bug/detail/7040544797"/>
    <hyperlink ref="E81" r:id="rId5" display="https://project.feishu.cn/obis/bug/detail/7034234347"/>
    <hyperlink ref="E82" r:id="rId5" display="https://project.feishu.cn/obis/bug/detail/7034234347"/>
    <hyperlink ref="E84" r:id="rId6" display="https://project.feishu.cn/obis/bug/detail/7035492400"/>
    <hyperlink ref="E87" r:id="rId7" display="https://project.feishu.cn/obis/bug/detail/7040729555"/>
    <hyperlink ref="E89" r:id="rId8" display="https://project.feishu.cn/obis/bug/detail/7034306672"/>
    <hyperlink ref="E91" r:id="rId9" display="https://project.feishu.cn/obis/bug/detail/7035323354"/>
    <hyperlink ref="E94" r:id="rId10" display="https://project.feishu.cn/obis/bug/detail/7040526235"/>
    <hyperlink ref="E96" r:id="rId11" display="https://project.feishu.cn/obis/bug/detail/7040696494"/>
    <hyperlink ref="E80" r:id="rId12" display="https://project.feishu.cn/obis/bug/detail/7035307368"/>
    <hyperlink ref="E83" r:id="rId13" display="https://project.feishu.cn/obis/bug/detail/7035464800"/>
  </hyperlinks>
  <pageMargins left="0.75" right="0.75" top="1" bottom="1" header="0.5" footer="0.5"/>
  <headerFooter/>
  <picture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Future</cp:lastModifiedBy>
  <dcterms:created xsi:type="dcterms:W3CDTF">2026-07-09T03:43:35Z</dcterms:created>
  <dcterms:modified xsi:type="dcterms:W3CDTF">2026-07-09T03:44:00Z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6D6BB552A0FB445BA893DC61C9AF583E_12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